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JAN_Hessin" sheetId="1" state="visible" r:id="rId1"/>
    <sheet name="01_JAN_Imad" sheetId="2" state="visible" r:id="rId2"/>
    <sheet name="01_JAN_Elmatloub" sheetId="3" state="visible" r:id="rId3"/>
    <sheet name="02_FEB_Hessin" sheetId="4" state="visible" r:id="rId4"/>
    <sheet name="02_FEB_Imad" sheetId="5" state="visible" r:id="rId5"/>
    <sheet name="02_FEB_Elmatloub" sheetId="6" state="visible" r:id="rId6"/>
    <sheet name="03_MAR_Hessin" sheetId="7" state="visible" r:id="rId7"/>
    <sheet name="03_MAR_Imad" sheetId="8" state="visible" r:id="rId8"/>
    <sheet name="03_MAR_Elmatloub" sheetId="9" state="visible" r:id="rId9"/>
    <sheet name="04_APR_Hessin" sheetId="10" state="visible" r:id="rId10"/>
    <sheet name="04_APR_Imad" sheetId="11" state="visible" r:id="rId11"/>
    <sheet name="04_APR_Elmatloub" sheetId="12" state="visible" r:id="rId12"/>
    <sheet name="05_MAY_Hessin" sheetId="13" state="visible" r:id="rId13"/>
    <sheet name="05_MAY_Imad" sheetId="14" state="visible" r:id="rId14"/>
    <sheet name="05_MAY_Elmatloub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Calibri"/>
      <b val="1"/>
      <color rgb="FFC9A84C"/>
      <sz val="12"/>
    </font>
    <font>
      <name val="Calibri"/>
      <color rgb="FFFFFFFF"/>
      <sz val="8"/>
    </font>
    <font>
      <name val="Calibri"/>
      <b val="1"/>
      <color rgb="FFC9A84C"/>
      <sz val="9"/>
    </font>
    <font>
      <name val="Calibri"/>
      <b val="1"/>
      <color rgb="FFFFFFFF"/>
      <sz val="9"/>
    </font>
    <font>
      <name val="Calibri"/>
      <color rgb="FF6B6B6B"/>
      <sz val="8"/>
    </font>
    <font>
      <name val="Calibri"/>
      <i val="1"/>
      <color rgb="FF6B5B35"/>
      <sz val="8"/>
    </font>
    <font>
      <name val="Calibri"/>
      <b val="1"/>
      <color rgb="FF7A6525"/>
      <sz val="9"/>
    </font>
    <font>
      <name val="Calibri"/>
      <color rgb="FF1A1A1A"/>
      <sz val="9"/>
    </font>
    <font>
      <name val="Calibri"/>
      <color rgb="FFBDBDBD"/>
      <sz val="9"/>
    </font>
    <font>
      <name val="Calibri"/>
      <color rgb="FFBDBDBD"/>
      <sz val="8"/>
    </font>
    <font>
      <name val="Calibri"/>
      <b val="1"/>
      <color rgb="FF1565C0"/>
      <sz val="9"/>
    </font>
    <font>
      <name val="Calibri"/>
      <b val="1"/>
      <color rgb="FFE65100"/>
      <sz val="8"/>
    </font>
    <font>
      <name val="Calibri"/>
      <color rgb="FF2E7D32"/>
      <sz val="9"/>
    </font>
    <font>
      <name val="Calibri"/>
      <color rgb="FF1B5E20"/>
      <sz val="8"/>
    </font>
    <font>
      <name val="Calibri"/>
      <color rgb="FFC62828"/>
      <sz val="8"/>
    </font>
    <font>
      <name val="Calibri"/>
      <color rgb="FFE65100"/>
      <sz val="8"/>
    </font>
    <font/>
    <font>
      <name val="Montserrat"/>
      <b val="1"/>
      <color rgb="00FFFFFF"/>
      <sz val="13"/>
    </font>
    <font>
      <name val="Montserrat"/>
      <color rgb="001F3864"/>
      <sz val="9"/>
    </font>
    <font>
      <name val="Montserrat"/>
      <b val="1"/>
      <color rgb="00FFFFFF"/>
      <sz val="10"/>
    </font>
    <font>
      <name val="Montserrat"/>
      <b val="1"/>
      <color rgb="00FFFFFF"/>
      <sz val="9"/>
    </font>
    <font>
      <name val="Montserrat"/>
      <b val="1"/>
      <color rgb="00FFFFFF"/>
      <sz val="11"/>
    </font>
    <font>
      <name val="Montserrat"/>
      <sz val="10"/>
    </font>
    <font>
      <name val="Montserrat"/>
      <b val="1"/>
      <sz val="10"/>
    </font>
  </fonts>
  <fills count="27">
    <fill>
      <patternFill/>
    </fill>
    <fill>
      <patternFill patternType="gray125"/>
    </fill>
    <fill>
      <patternFill patternType="solid">
        <fgColor rgb="FF0D1B2A"/>
      </patternFill>
    </fill>
    <fill>
      <patternFill patternType="solid">
        <fgColor rgb="FF6B5B35"/>
      </patternFill>
    </fill>
    <fill>
      <patternFill patternType="solid">
        <fgColor rgb="FF1C3A54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0F2942"/>
      </patternFill>
    </fill>
    <fill>
      <patternFill patternType="solid">
        <fgColor rgb="FF5D4037"/>
      </patternFill>
    </fill>
    <fill>
      <patternFill patternType="solid">
        <fgColor rgb="FFFFFFFF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DE8E8"/>
      </patternFill>
    </fill>
    <fill>
      <patternFill patternType="solid">
        <fgColor rgb="FFF5F2EC"/>
      </patternFill>
    </fill>
    <fill>
      <patternFill patternType="solid">
        <fgColor rgb="FF1A237E"/>
      </patternFill>
    </fill>
    <fill>
      <patternFill patternType="solid">
        <fgColor rgb="FFFFF8E1"/>
      </patternFill>
    </fill>
    <fill>
      <patternFill patternType="solid">
        <fgColor rgb="FF1B5E20"/>
      </patternFill>
    </fill>
    <fill>
      <patternFill patternType="solid">
        <fgColor rgb="FF4A148C"/>
      </patternFill>
    </fill>
    <fill>
      <patternFill patternType="solid">
        <fgColor rgb="FF880E4F"/>
      </patternFill>
    </fill>
    <fill>
      <patternFill patternType="solid">
        <fgColor rgb="FF37474F"/>
      </patternFill>
    </fill>
    <fill>
      <patternFill patternType="solid">
        <fgColor rgb="FF4E342E"/>
      </patternFill>
    </fill>
    <fill>
      <patternFill patternType="solid">
        <fgColor rgb="FF263238"/>
      </patternFill>
    </fill>
    <fill>
      <patternFill patternType="solid">
        <fgColor rgb="FF0D47A1"/>
      </patternFill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  <fill>
      <patternFill patternType="solid">
        <fgColor rgb="00FFD700"/>
        <bgColor rgb="00FFD700"/>
      </patternFill>
    </fill>
    <fill>
      <patternFill patternType="solid">
        <fgColor rgb="00D9E1F2"/>
        <bgColor rgb="00D9E1F2"/>
      </patternFill>
    </fill>
  </fills>
  <borders count="8">
    <border>
      <left/>
      <right/>
      <top/>
      <bottom/>
      <diagonal/>
    </border>
    <border>
      <left style="thin">
        <color rgb="FFD0C8B8"/>
      </left>
      <right style="thin">
        <color rgb="FFD0C8B8"/>
      </right>
      <top style="thin">
        <color rgb="FFD0C8B8"/>
      </top>
      <bottom style="thin">
        <color rgb="FFD0C8B8"/>
      </bottom>
    </border>
    <border>
      <left/>
      <right/>
      <top style="thin">
        <color rgb="FFD0C8B8"/>
      </top>
      <bottom/>
      <diagonal/>
    </border>
    <border>
      <left/>
      <right style="thin">
        <color rgb="FFD0C8B8"/>
      </right>
      <top style="thin">
        <color rgb="FFD0C8B8"/>
      </top>
      <bottom/>
      <diagonal/>
    </border>
    <border>
      <left/>
      <right/>
      <top style="thin">
        <color rgb="FFD0C8B8"/>
      </top>
      <bottom style="thin">
        <color rgb="FFD0C8B8"/>
      </bottom>
      <diagonal/>
    </border>
    <border>
      <left/>
      <right style="thin">
        <color rgb="FFD0C8B8"/>
      </right>
      <top style="thin">
        <color rgb="FFD0C8B8"/>
      </top>
      <bottom style="thin">
        <color rgb="FFD0C8B8"/>
      </bottom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/>
    </xf>
    <xf numFmtId="0" fontId="0" fillId="14" borderId="1" pivotButton="0" quotePrefix="0" xfId="0"/>
    <xf numFmtId="0" fontId="16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/>
    </xf>
    <xf numFmtId="0" fontId="0" fillId="16" borderId="1" pivotButton="0" quotePrefix="0" xfId="0"/>
    <xf numFmtId="0" fontId="4" fillId="17" borderId="1" applyAlignment="1" pivotButton="0" quotePrefix="0" xfId="0">
      <alignment horizontal="left" vertical="center"/>
    </xf>
    <xf numFmtId="0" fontId="0" fillId="17" borderId="1" pivotButton="0" quotePrefix="0" xfId="0"/>
    <xf numFmtId="0" fontId="4" fillId="18" borderId="1" applyAlignment="1" pivotButton="0" quotePrefix="0" xfId="0">
      <alignment horizontal="left" vertical="center"/>
    </xf>
    <xf numFmtId="0" fontId="0" fillId="18" borderId="1" pivotButton="0" quotePrefix="0" xfId="0"/>
    <xf numFmtId="0" fontId="4" fillId="19" borderId="1" applyAlignment="1" pivotButton="0" quotePrefix="0" xfId="0">
      <alignment horizontal="left" vertical="center"/>
    </xf>
    <xf numFmtId="0" fontId="0" fillId="19" borderId="1" pivotButton="0" quotePrefix="0" xfId="0"/>
    <xf numFmtId="0" fontId="4" fillId="20" borderId="1" applyAlignment="1" pivotButton="0" quotePrefix="0" xfId="0">
      <alignment horizontal="left" vertical="center"/>
    </xf>
    <xf numFmtId="0" fontId="0" fillId="20" borderId="1" pivotButton="0" quotePrefix="0" xfId="0"/>
    <xf numFmtId="0" fontId="4" fillId="21" borderId="1" applyAlignment="1" pivotButton="0" quotePrefix="0" xfId="0">
      <alignment horizontal="left" vertical="center"/>
    </xf>
    <xf numFmtId="0" fontId="0" fillId="21" borderId="1" pivotButton="0" quotePrefix="0" xfId="0"/>
    <xf numFmtId="0" fontId="4" fillId="22" borderId="1" applyAlignment="1" pivotButton="0" quotePrefix="0" xfId="0">
      <alignment horizontal="left" vertical="center"/>
    </xf>
    <xf numFmtId="0" fontId="0" fillId="2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8" fillId="23" borderId="6" applyAlignment="1" pivotButton="0" quotePrefix="0" xfId="0">
      <alignment horizontal="center" vertical="center" wrapText="1"/>
    </xf>
    <xf numFmtId="0" fontId="19" fillId="0" borderId="6" applyAlignment="1" pivotButton="0" quotePrefix="0" xfId="0">
      <alignment horizontal="center" vertical="center" wrapText="1"/>
    </xf>
    <xf numFmtId="0" fontId="20" fillId="23" borderId="7" applyAlignment="1" pivotButton="0" quotePrefix="0" xfId="0">
      <alignment horizontal="center" vertical="center" wrapText="1"/>
    </xf>
    <xf numFmtId="0" fontId="20" fillId="24" borderId="7" applyAlignment="1" pivotButton="0" quotePrefix="0" xfId="0">
      <alignment horizontal="center" vertical="center" wrapText="1"/>
    </xf>
    <xf numFmtId="0" fontId="17" fillId="0" borderId="6" pivotButton="0" quotePrefix="0" xfId="0"/>
    <xf numFmtId="0" fontId="17" fillId="0" borderId="6" applyAlignment="1" pivotButton="0" quotePrefix="0" xfId="0">
      <alignment horizontal="center" vertical="center" wrapText="1"/>
    </xf>
    <xf numFmtId="0" fontId="21" fillId="23" borderId="7" applyAlignment="1" pivotButton="0" quotePrefix="0" xfId="0">
      <alignment horizontal="center" vertical="center" wrapText="1"/>
    </xf>
    <xf numFmtId="0" fontId="21" fillId="24" borderId="7" applyAlignment="1" pivotButton="0" quotePrefix="0" xfId="0">
      <alignment horizontal="center"/>
    </xf>
    <xf numFmtId="0" fontId="22" fillId="25" borderId="7" applyAlignment="1" pivotButton="0" quotePrefix="0" xfId="0">
      <alignment horizontal="left" vertical="center" wrapText="1"/>
    </xf>
    <xf numFmtId="0" fontId="22" fillId="25" borderId="7" applyAlignment="1" pivotButton="0" quotePrefix="0" xfId="0">
      <alignment horizontal="center"/>
    </xf>
    <xf numFmtId="10" fontId="22" fillId="25" borderId="7" applyAlignment="1" pivotButton="0" quotePrefix="0" xfId="0">
      <alignment horizontal="center"/>
    </xf>
    <xf numFmtId="0" fontId="20" fillId="25" borderId="7" applyAlignment="1" pivotButton="0" quotePrefix="0" xfId="0">
      <alignment horizontal="center"/>
    </xf>
    <xf numFmtId="10" fontId="20" fillId="25" borderId="7" applyAlignment="1" pivotButton="0" quotePrefix="0" xfId="0">
      <alignment horizontal="center"/>
    </xf>
    <xf numFmtId="0" fontId="17" fillId="0" borderId="6" applyAlignment="1" pivotButton="0" quotePrefix="0" xfId="0">
      <alignment horizontal="left" vertical="center"/>
    </xf>
    <xf numFmtId="0" fontId="17" fillId="0" borderId="6" applyAlignment="1" pivotButton="0" quotePrefix="0" xfId="0">
      <alignment horizontal="left" vertical="center" wrapText="1"/>
    </xf>
    <xf numFmtId="0" fontId="23" fillId="0" borderId="7" applyAlignment="1" pivotButton="0" quotePrefix="0" xfId="0">
      <alignment horizontal="center" vertical="center" wrapText="1"/>
    </xf>
    <xf numFmtId="0" fontId="23" fillId="0" borderId="7" applyAlignment="1" pivotButton="0" quotePrefix="0" xfId="0">
      <alignment horizontal="left" vertical="center" wrapText="1"/>
    </xf>
    <xf numFmtId="0" fontId="24" fillId="26" borderId="7" applyAlignment="1" pivotButton="0" quotePrefix="0" xfId="0">
      <alignment horizontal="center"/>
    </xf>
    <xf numFmtId="10" fontId="24" fillId="26" borderId="7" applyAlignment="1" pivotButton="0" quotePrefix="0" xfId="0">
      <alignment horizontal="center"/>
    </xf>
    <xf numFmtId="0" fontId="23" fillId="0" borderId="7" applyAlignment="1" pivotButton="0" quotePrefix="0" xfId="0">
      <alignment horizontal="center"/>
    </xf>
    <xf numFmtId="10" fontId="23" fillId="0" borderId="7" applyAlignment="1" pivotButton="0" quotePrefix="0" xfId="0">
      <alignment horizontal="center"/>
    </xf>
    <xf numFmtId="0" fontId="23" fillId="0" borderId="7" applyAlignment="1" pivotButton="0" quotePrefix="0" xfId="0">
      <alignment horizontal="left" vertical="center"/>
    </xf>
    <xf numFmtId="0" fontId="23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B5B35"/>
    <outlinePr summaryBelow="1" summaryRight="1"/>
    <pageSetUpPr/>
  </sheetPr>
  <dimension ref="A1:AZ64"/>
  <sheetViews>
    <sheetView showGridLines="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2" customWidth="1" min="4" max="4"/>
    <col width="25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7.5" customWidth="1" min="45" max="45"/>
    <col width="9" customWidth="1" min="46" max="46"/>
  </cols>
  <sheetData>
    <row r="1" ht="25" customHeight="1">
      <c r="A1" s="55" t="inlineStr">
        <is>
          <t>EMIRATES PRIDE PERFUMES | TESTER CONSUMPTION | JAN 2026 | HESSIN</t>
        </is>
      </c>
    </row>
    <row r="2" ht="14" customHeight="1">
      <c r="A2" s="56" t="inlineStr">
        <is>
          <t>T=Testers Dispatched (blue) | S=Sales Generated (green) | Contrib%=Contribution %</t>
        </is>
      </c>
    </row>
    <row r="3" ht="30" customHeight="1">
      <c r="A3" s="57" t="inlineStr">
        <is>
          <t>#</t>
        </is>
      </c>
      <c r="B3" s="57" t="inlineStr">
        <is>
          <t>Category</t>
        </is>
      </c>
      <c r="C3" s="57" t="inlineStr">
        <is>
          <t>Sub-Category</t>
        </is>
      </c>
      <c r="D3" s="57" t="inlineStr">
        <is>
          <t>SKU Code</t>
        </is>
      </c>
      <c r="E3" s="57" t="inlineStr">
        <is>
          <t>Product Name</t>
        </is>
      </c>
      <c r="F3" s="57" t="inlineStr">
        <is>
          <t>Grand Total
Testers</t>
        </is>
      </c>
      <c r="G3" s="57" t="inlineStr">
        <is>
          <t>Grand Total
Sales</t>
        </is>
      </c>
      <c r="H3" s="57" t="inlineStr">
        <is>
          <t>Grand Total
Contrib%</t>
        </is>
      </c>
      <c r="I3" s="58" t="inlineStr">
        <is>
          <t>Dalma Shop</t>
        </is>
      </c>
      <c r="J3" s="59" t="n"/>
      <c r="K3" s="60" t="n"/>
      <c r="L3" s="58" t="inlineStr">
        <is>
          <t>Dalma Kiosk</t>
        </is>
      </c>
      <c r="M3" s="59" t="n"/>
      <c r="N3" s="60" t="n"/>
      <c r="O3" s="58" t="inlineStr">
        <is>
          <t>Deerfield</t>
        </is>
      </c>
      <c r="P3" s="59" t="n"/>
      <c r="Q3" s="60" t="n"/>
      <c r="R3" s="58" t="inlineStr">
        <is>
          <t>Yas Kiosk 2</t>
        </is>
      </c>
      <c r="S3" s="59" t="n"/>
      <c r="T3" s="60" t="n"/>
      <c r="U3" s="58" t="inlineStr">
        <is>
          <t>Yas Kiosk 3</t>
        </is>
      </c>
      <c r="V3" s="59" t="n"/>
      <c r="W3" s="60" t="n"/>
      <c r="X3" s="58" t="inlineStr">
        <is>
          <t>Yas Podium</t>
        </is>
      </c>
      <c r="Y3" s="59" t="n"/>
      <c r="Z3" s="60" t="n"/>
      <c r="AA3" s="58" t="inlineStr">
        <is>
          <t>BAS Shop 2</t>
        </is>
      </c>
      <c r="AB3" s="59" t="n"/>
      <c r="AC3" s="60" t="n"/>
      <c r="AD3" s="58" t="inlineStr">
        <is>
          <t>Al Ain Mall</t>
        </is>
      </c>
      <c r="AE3" s="59" t="n"/>
      <c r="AF3" s="60" t="n"/>
      <c r="AG3" s="58" t="inlineStr">
        <is>
          <t>Bawadi K1</t>
        </is>
      </c>
      <c r="AH3" s="59" t="n"/>
      <c r="AI3" s="60" t="n"/>
      <c r="AJ3" s="58" t="inlineStr">
        <is>
          <t>Bawadi K2</t>
        </is>
      </c>
      <c r="AK3" s="59" t="n"/>
      <c r="AL3" s="60" t="n"/>
      <c r="AM3" s="58" t="inlineStr">
        <is>
          <t>Jimi Mall</t>
        </is>
      </c>
      <c r="AN3" s="59" t="n"/>
      <c r="AO3" s="60" t="n"/>
      <c r="AP3" s="58" t="inlineStr">
        <is>
          <t>Makani Shop</t>
        </is>
      </c>
      <c r="AQ3" s="59" t="n"/>
      <c r="AR3" s="60" t="n"/>
      <c r="AS3" s="59" t="n"/>
      <c r="AT3" s="59" t="n"/>
    </row>
    <row r="4" ht="44" customHeight="1">
      <c r="A4" s="61" t="n"/>
      <c r="B4" s="61" t="n"/>
      <c r="C4" s="61" t="n"/>
      <c r="D4" s="61" t="n"/>
      <c r="E4" s="61" t="n"/>
      <c r="F4" s="61" t="inlineStr">
        <is>
          <t>T</t>
        </is>
      </c>
      <c r="G4" s="61" t="inlineStr">
        <is>
          <t>S</t>
        </is>
      </c>
      <c r="H4" s="61" t="inlineStr">
        <is>
          <t>Contrib%</t>
        </is>
      </c>
      <c r="I4" s="62" t="inlineStr">
        <is>
          <t>T</t>
        </is>
      </c>
      <c r="J4" s="62" t="inlineStr">
        <is>
          <t>S</t>
        </is>
      </c>
      <c r="K4" s="62" t="inlineStr">
        <is>
          <t>Contrib%</t>
        </is>
      </c>
      <c r="L4" s="62" t="inlineStr">
        <is>
          <t>T</t>
        </is>
      </c>
      <c r="M4" s="62" t="inlineStr">
        <is>
          <t>S</t>
        </is>
      </c>
      <c r="N4" s="62" t="inlineStr">
        <is>
          <t>Contrib%</t>
        </is>
      </c>
      <c r="O4" s="62" t="inlineStr">
        <is>
          <t>T</t>
        </is>
      </c>
      <c r="P4" s="62" t="inlineStr">
        <is>
          <t>S</t>
        </is>
      </c>
      <c r="Q4" s="62" t="inlineStr">
        <is>
          <t>Contrib%</t>
        </is>
      </c>
      <c r="R4" s="62" t="inlineStr">
        <is>
          <t>T</t>
        </is>
      </c>
      <c r="S4" s="62" t="inlineStr">
        <is>
          <t>S</t>
        </is>
      </c>
      <c r="T4" s="62" t="inlineStr">
        <is>
          <t>Contrib%</t>
        </is>
      </c>
      <c r="U4" s="62" t="inlineStr">
        <is>
          <t>T</t>
        </is>
      </c>
      <c r="V4" s="62" t="inlineStr">
        <is>
          <t>S</t>
        </is>
      </c>
      <c r="W4" s="62" t="inlineStr">
        <is>
          <t>Contrib%</t>
        </is>
      </c>
      <c r="X4" s="62" t="inlineStr">
        <is>
          <t>T</t>
        </is>
      </c>
      <c r="Y4" s="62" t="inlineStr">
        <is>
          <t>S</t>
        </is>
      </c>
      <c r="Z4" s="62" t="inlineStr">
        <is>
          <t>Contrib%</t>
        </is>
      </c>
      <c r="AA4" s="62" t="inlineStr">
        <is>
          <t>T</t>
        </is>
      </c>
      <c r="AB4" s="62" t="inlineStr">
        <is>
          <t>S</t>
        </is>
      </c>
      <c r="AC4" s="62" t="inlineStr">
        <is>
          <t>Contrib%</t>
        </is>
      </c>
      <c r="AD4" s="62" t="inlineStr">
        <is>
          <t>T</t>
        </is>
      </c>
      <c r="AE4" s="62" t="inlineStr">
        <is>
          <t>S</t>
        </is>
      </c>
      <c r="AF4" s="62" t="inlineStr">
        <is>
          <t>Contrib%</t>
        </is>
      </c>
      <c r="AG4" s="62" t="inlineStr">
        <is>
          <t>T</t>
        </is>
      </c>
      <c r="AH4" s="62" t="inlineStr">
        <is>
          <t>S</t>
        </is>
      </c>
      <c r="AI4" s="62" t="inlineStr">
        <is>
          <t>Contrib%</t>
        </is>
      </c>
      <c r="AJ4" s="62" t="inlineStr">
        <is>
          <t>T</t>
        </is>
      </c>
      <c r="AK4" s="62" t="inlineStr">
        <is>
          <t>S</t>
        </is>
      </c>
      <c r="AL4" s="62" t="inlineStr">
        <is>
          <t>Contrib%</t>
        </is>
      </c>
      <c r="AM4" s="62" t="inlineStr">
        <is>
          <t>T</t>
        </is>
      </c>
      <c r="AN4" s="62" t="inlineStr">
        <is>
          <t>S</t>
        </is>
      </c>
      <c r="AO4" s="62" t="inlineStr">
        <is>
          <t>Contrib%</t>
        </is>
      </c>
      <c r="AP4" s="62" t="inlineStr">
        <is>
          <t>T</t>
        </is>
      </c>
      <c r="AQ4" s="62" t="inlineStr">
        <is>
          <t>S</t>
        </is>
      </c>
      <c r="AR4" s="62" t="inlineStr">
        <is>
          <t>Contrib%</t>
        </is>
      </c>
      <c r="AS4" s="60" t="n"/>
      <c r="AT4" s="60" t="n"/>
    </row>
    <row r="5" ht="20" customHeight="1">
      <c r="A5" s="63" t="inlineStr">
        <is>
          <t>GRAND TOTAL</t>
        </is>
      </c>
      <c r="B5" s="59" t="n"/>
      <c r="C5" s="59" t="n"/>
      <c r="D5" s="59" t="n"/>
      <c r="E5" s="60" t="n"/>
      <c r="F5" s="64">
        <f>SUM(F12:F64)</f>
        <v/>
      </c>
      <c r="G5" s="64">
        <f>SUM(G12:G64)</f>
        <v/>
      </c>
      <c r="H5" s="65">
        <f>IFERROR(IF(G5&gt;0,F5/G5,"-"),"-")</f>
        <v/>
      </c>
      <c r="I5" s="66">
        <f>SUM(I12:I64)</f>
        <v/>
      </c>
      <c r="J5" s="66">
        <f>SUM(J12:J64)</f>
        <v/>
      </c>
      <c r="K5" s="67">
        <f>IFERROR(IF(J5&gt;0,I5/J5,"-"),"-")</f>
        <v/>
      </c>
      <c r="L5" s="66">
        <f>SUM(L12:L64)</f>
        <v/>
      </c>
      <c r="M5" s="66">
        <f>SUM(M12:M64)</f>
        <v/>
      </c>
      <c r="N5" s="67">
        <f>IFERROR(IF(M5&gt;0,L5/M5,"-"),"-")</f>
        <v/>
      </c>
      <c r="O5" s="66">
        <f>SUM(O12:O64)</f>
        <v/>
      </c>
      <c r="P5" s="66">
        <f>SUM(P12:P64)</f>
        <v/>
      </c>
      <c r="Q5" s="67">
        <f>IFERROR(IF(P5&gt;0,O5/P5,"-"),"-")</f>
        <v/>
      </c>
      <c r="R5" s="66">
        <f>SUM(R12:R64)</f>
        <v/>
      </c>
      <c r="S5" s="66">
        <f>SUM(S12:S64)</f>
        <v/>
      </c>
      <c r="T5" s="67">
        <f>IFERROR(IF(S5&gt;0,R5/S5,"-"),"-")</f>
        <v/>
      </c>
      <c r="U5" s="66">
        <f>SUM(U12:U64)</f>
        <v/>
      </c>
      <c r="V5" s="66">
        <f>SUM(V12:V64)</f>
        <v/>
      </c>
      <c r="W5" s="67">
        <f>IFERROR(IF(V5&gt;0,U5/V5,"-"),"-")</f>
        <v/>
      </c>
      <c r="X5" s="66">
        <f>SUM(X12:X64)</f>
        <v/>
      </c>
      <c r="Y5" s="66">
        <f>SUM(Y12:Y64)</f>
        <v/>
      </c>
      <c r="Z5" s="67">
        <f>IFERROR(IF(Y5&gt;0,X5/Y5,"-"),"-")</f>
        <v/>
      </c>
      <c r="AA5" s="66">
        <f>SUM(AA12:AA64)</f>
        <v/>
      </c>
      <c r="AB5" s="66">
        <f>SUM(AB12:AB64)</f>
        <v/>
      </c>
      <c r="AC5" s="67">
        <f>IFERROR(IF(AB5&gt;0,AA5/AB5,"-"),"-")</f>
        <v/>
      </c>
      <c r="AD5" s="66">
        <f>SUM(AD12:AD64)</f>
        <v/>
      </c>
      <c r="AE5" s="66">
        <f>SUM(AE12:AE64)</f>
        <v/>
      </c>
      <c r="AF5" s="67">
        <f>IFERROR(IF(AE5&gt;0,AD5/AE5,"-"),"-")</f>
        <v/>
      </c>
      <c r="AG5" s="66">
        <f>SUM(AG12:AG64)</f>
        <v/>
      </c>
      <c r="AH5" s="66">
        <f>SUM(AH12:AH64)</f>
        <v/>
      </c>
      <c r="AI5" s="67">
        <f>IFERROR(IF(AH5&gt;0,AG5/AH5,"-"),"-")</f>
        <v/>
      </c>
      <c r="AJ5" s="66">
        <f>SUM(AJ12:AJ64)</f>
        <v/>
      </c>
      <c r="AK5" s="66">
        <f>SUM(AK12:AK64)</f>
        <v/>
      </c>
      <c r="AL5" s="67">
        <f>IFERROR(IF(AK5&gt;0,AJ5/AK5,"-"),"-")</f>
        <v/>
      </c>
      <c r="AM5" s="66">
        <f>SUM(AM12:AM64)</f>
        <v/>
      </c>
      <c r="AN5" s="66">
        <f>SUM(AN12:AN64)</f>
        <v/>
      </c>
      <c r="AO5" s="67">
        <f>IFERROR(IF(AN5&gt;0,AM5/AN5,"-"),"-")</f>
        <v/>
      </c>
      <c r="AP5" s="66">
        <f>SUM(AP12:AP64)</f>
        <v/>
      </c>
      <c r="AQ5" s="66">
        <f>SUM(AQ12:AQ64)</f>
        <v/>
      </c>
      <c r="AR5" s="67">
        <f>IFERROR(IF(AQ5&gt;0,AP5/AQ5,"-"),"-")</f>
        <v/>
      </c>
      <c r="AS5" s="60" t="n"/>
      <c r="AT5" s="60" t="n"/>
    </row>
    <row r="6" ht="15" customHeight="1">
      <c r="A6" s="68" t="n"/>
      <c r="B6" s="59" t="n"/>
      <c r="C6" s="59" t="n"/>
      <c r="D6" s="59" t="n"/>
      <c r="E6" s="59" t="n"/>
      <c r="F6" s="59" t="n"/>
      <c r="G6" s="59" t="n"/>
      <c r="H6" s="59" t="n"/>
      <c r="I6" s="59" t="n"/>
      <c r="J6" s="59" t="n"/>
      <c r="K6" s="59" t="n"/>
      <c r="L6" s="59" t="n"/>
      <c r="M6" s="59" t="n"/>
      <c r="N6" s="59" t="n"/>
      <c r="O6" s="59" t="n"/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  <c r="Z6" s="59" t="n"/>
      <c r="AA6" s="59" t="n"/>
      <c r="AB6" s="59" t="n"/>
      <c r="AC6" s="59" t="n"/>
      <c r="AD6" s="59" t="n"/>
      <c r="AE6" s="59" t="n"/>
      <c r="AF6" s="59" t="n"/>
      <c r="AG6" s="59" t="n"/>
      <c r="AH6" s="59" t="n"/>
      <c r="AI6" s="59" t="n"/>
      <c r="AJ6" s="59" t="n"/>
      <c r="AK6" s="59" t="n"/>
      <c r="AL6" s="59" t="n"/>
      <c r="AM6" s="59" t="n"/>
      <c r="AN6" s="59" t="n"/>
      <c r="AO6" s="59" t="n"/>
      <c r="AP6" s="59" t="n"/>
      <c r="AQ6" s="59" t="n"/>
      <c r="AR6" s="59" t="n"/>
      <c r="AS6" s="59" t="n"/>
      <c r="AT6" s="59" t="n"/>
    </row>
    <row r="7" ht="15" customHeight="1">
      <c r="A7" s="60" t="n"/>
      <c r="B7" s="69" t="n"/>
      <c r="C7" s="60" t="n"/>
      <c r="D7" s="69" t="n"/>
      <c r="E7" s="60" t="n"/>
      <c r="F7" s="60" t="n"/>
      <c r="G7" s="60" t="n"/>
      <c r="H7" s="60" t="n"/>
      <c r="I7" s="60" t="n"/>
      <c r="J7" s="60" t="n"/>
      <c r="K7" s="60" t="n"/>
      <c r="L7" s="60" t="n"/>
      <c r="M7" s="60" t="n"/>
      <c r="N7" s="60" t="n"/>
      <c r="O7" s="60" t="n"/>
      <c r="P7" s="60" t="n"/>
      <c r="Q7" s="60" t="n"/>
      <c r="R7" s="60" t="n"/>
      <c r="S7" s="60" t="n"/>
      <c r="T7" s="60" t="n"/>
      <c r="U7" s="60" t="n"/>
      <c r="V7" s="60" t="n"/>
      <c r="W7" s="60" t="n"/>
      <c r="X7" s="60" t="n"/>
      <c r="Y7" s="60" t="n"/>
      <c r="Z7" s="60" t="n"/>
      <c r="AA7" s="60" t="n"/>
      <c r="AB7" s="60" t="n"/>
      <c r="AC7" s="60" t="n"/>
      <c r="AD7" s="60" t="n"/>
      <c r="AE7" s="60" t="n"/>
      <c r="AF7" s="60" t="n"/>
      <c r="AG7" s="60" t="n"/>
      <c r="AH7" s="60" t="n"/>
      <c r="AI7" s="60" t="n"/>
      <c r="AJ7" s="60" t="n"/>
      <c r="AK7" s="60" t="n"/>
      <c r="AL7" s="60" t="n"/>
      <c r="AM7" s="60" t="n"/>
      <c r="AN7" s="60" t="n"/>
      <c r="AO7" s="60" t="n"/>
      <c r="AP7" s="60" t="n"/>
      <c r="AQ7" s="60" t="n"/>
      <c r="AR7" s="60" t="n"/>
      <c r="AS7" s="60" t="n"/>
      <c r="AT7" s="60" t="n"/>
    </row>
    <row r="8" ht="15" customHeight="1">
      <c r="A8" s="60" t="n"/>
      <c r="B8" s="69" t="n"/>
      <c r="C8" s="60" t="n"/>
      <c r="D8" s="69" t="n"/>
      <c r="E8" s="60" t="n"/>
      <c r="F8" s="60" t="n"/>
      <c r="G8" s="60" t="n"/>
      <c r="H8" s="60" t="n"/>
      <c r="I8" s="60" t="n"/>
      <c r="J8" s="60" t="n"/>
      <c r="K8" s="60" t="n"/>
      <c r="L8" s="60" t="n"/>
      <c r="M8" s="60" t="n"/>
      <c r="N8" s="60" t="n"/>
      <c r="O8" s="60" t="n"/>
      <c r="P8" s="60" t="n"/>
      <c r="Q8" s="60" t="n"/>
      <c r="R8" s="60" t="n"/>
      <c r="S8" s="60" t="n"/>
      <c r="T8" s="60" t="n"/>
      <c r="U8" s="60" t="n"/>
      <c r="V8" s="60" t="n"/>
      <c r="W8" s="60" t="n"/>
      <c r="X8" s="60" t="n"/>
      <c r="Y8" s="60" t="n"/>
      <c r="Z8" s="60" t="n"/>
      <c r="AA8" s="60" t="n"/>
      <c r="AB8" s="60" t="n"/>
      <c r="AC8" s="60" t="n"/>
      <c r="AD8" s="60" t="n"/>
      <c r="AE8" s="60" t="n"/>
      <c r="AF8" s="60" t="n"/>
      <c r="AG8" s="60" t="n"/>
      <c r="AH8" s="60" t="n"/>
      <c r="AI8" s="60" t="n"/>
      <c r="AJ8" s="60" t="n"/>
      <c r="AK8" s="60" t="n"/>
      <c r="AL8" s="60" t="n"/>
      <c r="AM8" s="60" t="n"/>
      <c r="AN8" s="60" t="n"/>
      <c r="AO8" s="60" t="n"/>
      <c r="AP8" s="60" t="n"/>
      <c r="AQ8" s="60" t="n"/>
      <c r="AR8" s="60" t="n"/>
      <c r="AS8" s="60" t="n"/>
      <c r="AT8" s="60" t="n"/>
    </row>
    <row r="9" ht="15" customHeight="1">
      <c r="A9" s="60" t="n"/>
      <c r="B9" s="69" t="n"/>
      <c r="C9" s="60" t="n"/>
      <c r="D9" s="69" t="n"/>
      <c r="E9" s="60" t="n"/>
      <c r="F9" s="60" t="n"/>
      <c r="G9" s="60" t="n"/>
      <c r="H9" s="60" t="n"/>
      <c r="I9" s="60" t="n"/>
      <c r="J9" s="60" t="n"/>
      <c r="K9" s="60" t="n"/>
      <c r="L9" s="60" t="n"/>
      <c r="M9" s="60" t="n"/>
      <c r="N9" s="60" t="n"/>
      <c r="O9" s="60" t="n"/>
      <c r="P9" s="60" t="n"/>
      <c r="Q9" s="60" t="n"/>
      <c r="R9" s="60" t="n"/>
      <c r="S9" s="60" t="n"/>
      <c r="T9" s="60" t="n"/>
      <c r="U9" s="60" t="n"/>
      <c r="V9" s="60" t="n"/>
      <c r="W9" s="60" t="n"/>
      <c r="X9" s="60" t="n"/>
      <c r="Y9" s="60" t="n"/>
      <c r="Z9" s="60" t="n"/>
      <c r="AA9" s="60" t="n"/>
      <c r="AB9" s="60" t="n"/>
      <c r="AC9" s="60" t="n"/>
      <c r="AD9" s="60" t="n"/>
      <c r="AE9" s="60" t="n"/>
      <c r="AF9" s="60" t="n"/>
      <c r="AG9" s="60" t="n"/>
      <c r="AH9" s="60" t="n"/>
      <c r="AI9" s="60" t="n"/>
      <c r="AJ9" s="60" t="n"/>
      <c r="AK9" s="60" t="n"/>
      <c r="AL9" s="60" t="n"/>
      <c r="AM9" s="60" t="n"/>
      <c r="AN9" s="60" t="n"/>
      <c r="AO9" s="60" t="n"/>
      <c r="AP9" s="60" t="n"/>
      <c r="AQ9" s="60" t="n"/>
      <c r="AR9" s="60" t="n"/>
      <c r="AS9" s="60" t="n"/>
      <c r="AT9" s="60" t="n"/>
    </row>
    <row r="10" ht="15" customHeight="1">
      <c r="A10" s="60" t="n"/>
      <c r="B10" s="69" t="n"/>
      <c r="C10" s="60" t="n"/>
      <c r="D10" s="69" t="n"/>
      <c r="E10" s="60" t="n"/>
      <c r="F10" s="60" t="n"/>
      <c r="G10" s="60" t="n"/>
      <c r="H10" s="60" t="n"/>
      <c r="I10" s="60" t="n"/>
      <c r="J10" s="60" t="n"/>
      <c r="K10" s="60" t="n"/>
      <c r="L10" s="60" t="n"/>
      <c r="M10" s="60" t="n"/>
      <c r="N10" s="60" t="n"/>
      <c r="O10" s="60" t="n"/>
      <c r="P10" s="60" t="n"/>
      <c r="Q10" s="60" t="n"/>
      <c r="R10" s="60" t="n"/>
      <c r="S10" s="60" t="n"/>
      <c r="T10" s="60" t="n"/>
      <c r="U10" s="60" t="n"/>
      <c r="V10" s="60" t="n"/>
      <c r="W10" s="60" t="n"/>
      <c r="X10" s="60" t="n"/>
      <c r="Y10" s="60" t="n"/>
      <c r="Z10" s="60" t="n"/>
      <c r="AA10" s="60" t="n"/>
      <c r="AB10" s="60" t="n"/>
      <c r="AC10" s="60" t="n"/>
      <c r="AD10" s="60" t="n"/>
      <c r="AE10" s="60" t="n"/>
      <c r="AF10" s="60" t="n"/>
      <c r="AG10" s="60" t="n"/>
      <c r="AH10" s="60" t="n"/>
      <c r="AI10" s="60" t="n"/>
      <c r="AJ10" s="60" t="n"/>
      <c r="AK10" s="60" t="n"/>
      <c r="AL10" s="60" t="n"/>
      <c r="AM10" s="60" t="n"/>
      <c r="AN10" s="60" t="n"/>
      <c r="AO10" s="60" t="n"/>
      <c r="AP10" s="60" t="n"/>
      <c r="AQ10" s="60" t="n"/>
      <c r="AR10" s="60" t="n"/>
      <c r="AS10" s="60" t="n"/>
      <c r="AT10" s="60" t="n"/>
    </row>
    <row r="11" ht="15" customHeight="1">
      <c r="A11" s="68" t="n"/>
      <c r="B11" s="59" t="n"/>
      <c r="C11" s="59" t="n"/>
      <c r="D11" s="59" t="n"/>
      <c r="E11" s="59" t="n"/>
      <c r="F11" s="59" t="n"/>
      <c r="G11" s="59" t="n"/>
      <c r="H11" s="59" t="n"/>
      <c r="I11" s="59" t="n"/>
      <c r="J11" s="59" t="n"/>
      <c r="K11" s="59" t="n"/>
      <c r="L11" s="59" t="n"/>
      <c r="M11" s="59" t="n"/>
      <c r="N11" s="59" t="n"/>
      <c r="O11" s="59" t="n"/>
      <c r="P11" s="59" t="n"/>
      <c r="Q11" s="59" t="n"/>
      <c r="R11" s="59" t="n"/>
      <c r="S11" s="59" t="n"/>
      <c r="T11" s="59" t="n"/>
      <c r="U11" s="59" t="n"/>
      <c r="V11" s="59" t="n"/>
      <c r="W11" s="59" t="n"/>
      <c r="X11" s="59" t="n"/>
      <c r="Y11" s="59" t="n"/>
      <c r="Z11" s="59" t="n"/>
      <c r="AA11" s="59" t="n"/>
      <c r="AB11" s="59" t="n"/>
      <c r="AC11" s="59" t="n"/>
      <c r="AD11" s="59" t="n"/>
      <c r="AE11" s="59" t="n"/>
      <c r="AF11" s="59" t="n"/>
      <c r="AG11" s="59" t="n"/>
      <c r="AH11" s="59" t="n"/>
      <c r="AI11" s="59" t="n"/>
      <c r="AJ11" s="59" t="n"/>
      <c r="AK11" s="59" t="n"/>
      <c r="AL11" s="59" t="n"/>
      <c r="AM11" s="59" t="n"/>
      <c r="AN11" s="59" t="n"/>
      <c r="AO11" s="59" t="n"/>
      <c r="AP11" s="59" t="n"/>
      <c r="AQ11" s="59" t="n"/>
      <c r="AR11" s="59" t="n"/>
      <c r="AS11" s="59" t="n"/>
      <c r="AT11" s="59" t="n"/>
    </row>
    <row r="12" ht="15" customHeight="1">
      <c r="A12" s="70" t="n">
        <v>5</v>
      </c>
      <c r="B12" s="71" t="inlineStr">
        <is>
          <t>Bel Collections</t>
        </is>
      </c>
      <c r="C12" s="70" t="inlineStr">
        <is>
          <t>B00001</t>
        </is>
      </c>
      <c r="D12" s="71" t="inlineStr">
        <is>
          <t>Bergamot bel Amber</t>
        </is>
      </c>
      <c r="E12" s="70" t="n">
        <v>1</v>
      </c>
      <c r="F12" s="72">
        <f>SUM(I12:AP12)</f>
        <v/>
      </c>
      <c r="G12" s="72">
        <f>SUM(J12:AQ12)</f>
        <v/>
      </c>
      <c r="H12" s="73">
        <f>IFERROR(IF(G12&gt;0,F12/G12,"-"),"-")</f>
        <v/>
      </c>
      <c r="I12" s="74" t="n">
        <v>5</v>
      </c>
      <c r="J12" s="74">
        <f>IFERROR(IF(I12&gt;0,H12/I12,"-"),"-")</f>
        <v/>
      </c>
      <c r="K12" s="75" t="n">
        <v>1</v>
      </c>
      <c r="L12" s="74" t="n">
        <v>19</v>
      </c>
      <c r="M12" s="74">
        <f>IFERROR(IF(L12&gt;0,K12/L12,"-"),"-")</f>
        <v/>
      </c>
      <c r="N12" s="75" t="n">
        <v>2</v>
      </c>
      <c r="O12" s="74" t="n">
        <v>1</v>
      </c>
      <c r="P12" s="74">
        <f>IFERROR(IF(O12&gt;0,N12/O12,"-"),"-")</f>
        <v/>
      </c>
      <c r="Q12" s="75" t="n"/>
      <c r="R12" s="74" t="n">
        <v>5</v>
      </c>
      <c r="S12" s="74">
        <f>IFERROR(IF(R12&gt;0,Q12/R12,"-"),"-")</f>
        <v/>
      </c>
      <c r="T12" s="75" t="n"/>
      <c r="U12" s="74" t="n">
        <v>11</v>
      </c>
      <c r="V12" s="74">
        <f>IFERROR(IF(U12&gt;0,T12/U12,"-"),"-")</f>
        <v/>
      </c>
      <c r="W12" s="75" t="n">
        <v>2</v>
      </c>
      <c r="X12" s="74" t="n">
        <v>2</v>
      </c>
      <c r="Y12" s="74">
        <f>IFERROR(IF(X12&gt;0,W12/X12,"-"),"-")</f>
        <v/>
      </c>
      <c r="Z12" s="75" t="n">
        <v>2</v>
      </c>
      <c r="AA12" s="74" t="n">
        <v>14</v>
      </c>
      <c r="AB12" s="74">
        <f>IFERROR(IF(AA12&gt;0,Z12/AA12,"-"),"-")</f>
        <v/>
      </c>
      <c r="AC12" s="75" t="n">
        <v>3</v>
      </c>
      <c r="AD12" s="74" t="n">
        <v>12</v>
      </c>
      <c r="AE12" s="74">
        <f>IFERROR(IF(AD12&gt;0,AC12/AD12,"-"),"-")</f>
        <v/>
      </c>
      <c r="AF12" s="75" t="n">
        <v>1</v>
      </c>
      <c r="AG12" s="74" t="n"/>
      <c r="AH12" s="74">
        <f>IFERROR(IF(AG12&gt;0,AF12/AG12,"-"),"-")</f>
        <v/>
      </c>
      <c r="AI12" s="75" t="n">
        <v>1</v>
      </c>
      <c r="AJ12" s="74" t="n">
        <v>9</v>
      </c>
      <c r="AK12" s="74">
        <f>IFERROR(IF(AJ12&gt;0,AI12/AJ12,"-"),"-")</f>
        <v/>
      </c>
      <c r="AL12" s="75" t="n"/>
      <c r="AM12" s="74" t="n">
        <v>4</v>
      </c>
      <c r="AN12" s="74">
        <f>IFERROR(IF(AM12&gt;0,AL12/AM12,"-"),"-")</f>
        <v/>
      </c>
      <c r="AO12" s="75" t="n">
        <v>1</v>
      </c>
      <c r="AP12" s="74" t="n">
        <v>1</v>
      </c>
      <c r="AQ12" s="74">
        <f>IFERROR(IF(AP12&gt;0,AO12/AP12,"-"),"-")</f>
        <v/>
      </c>
      <c r="AR12" s="75" t="n">
        <v>1</v>
      </c>
      <c r="AS12" s="60" t="n"/>
      <c r="AT12" s="60" t="n"/>
    </row>
    <row r="13" ht="15" customHeight="1">
      <c r="A13" s="70" t="n">
        <v>6</v>
      </c>
      <c r="B13" s="71" t="inlineStr">
        <is>
          <t>Bel Collections</t>
        </is>
      </c>
      <c r="C13" s="70" t="inlineStr">
        <is>
          <t>B00002</t>
        </is>
      </c>
      <c r="D13" s="71" t="inlineStr">
        <is>
          <t>Jasmin bel Musk</t>
        </is>
      </c>
      <c r="E13" s="70" t="n">
        <v>4</v>
      </c>
      <c r="F13" s="72">
        <f>SUM(I13:AP13)</f>
        <v/>
      </c>
      <c r="G13" s="72">
        <f>SUM(J13:AQ13)</f>
        <v/>
      </c>
      <c r="H13" s="73">
        <f>IFERROR(IF(G13&gt;0,F13/G13,"-"),"-")</f>
        <v/>
      </c>
      <c r="I13" s="74" t="n">
        <v>5</v>
      </c>
      <c r="J13" s="74">
        <f>IFERROR(IF(I13&gt;0,H13/I13,"-"),"-")</f>
        <v/>
      </c>
      <c r="K13" s="75" t="n">
        <v>2</v>
      </c>
      <c r="L13" s="74" t="n">
        <v>16</v>
      </c>
      <c r="M13" s="74">
        <f>IFERROR(IF(L13&gt;0,K13/L13,"-"),"-")</f>
        <v/>
      </c>
      <c r="N13" s="75" t="n">
        <v>2</v>
      </c>
      <c r="O13" s="74" t="n">
        <v>6</v>
      </c>
      <c r="P13" s="74">
        <f>IFERROR(IF(O13&gt;0,N13/O13,"-"),"-")</f>
        <v/>
      </c>
      <c r="Q13" s="75" t="n"/>
      <c r="R13" s="74" t="n">
        <v>12</v>
      </c>
      <c r="S13" s="74">
        <f>IFERROR(IF(R13&gt;0,Q13/R13,"-"),"-")</f>
        <v/>
      </c>
      <c r="T13" s="75" t="n">
        <v>3</v>
      </c>
      <c r="U13" s="74" t="n">
        <v>10</v>
      </c>
      <c r="V13" s="74">
        <f>IFERROR(IF(U13&gt;0,T13/U13,"-"),"-")</f>
        <v/>
      </c>
      <c r="W13" s="75" t="n">
        <v>4</v>
      </c>
      <c r="X13" s="74" t="n">
        <v>15</v>
      </c>
      <c r="Y13" s="74">
        <f>IFERROR(IF(X13&gt;0,W13/X13,"-"),"-")</f>
        <v/>
      </c>
      <c r="Z13" s="75" t="n">
        <v>6</v>
      </c>
      <c r="AA13" s="74" t="n">
        <v>18</v>
      </c>
      <c r="AB13" s="74">
        <f>IFERROR(IF(AA13&gt;0,Z13/AA13,"-"),"-")</f>
        <v/>
      </c>
      <c r="AC13" s="75" t="n">
        <v>4</v>
      </c>
      <c r="AD13" s="74" t="n">
        <v>16</v>
      </c>
      <c r="AE13" s="74">
        <f>IFERROR(IF(AD13&gt;0,AC13/AD13,"-"),"-")</f>
        <v/>
      </c>
      <c r="AF13" s="75" t="n">
        <v>1</v>
      </c>
      <c r="AG13" s="74" t="n"/>
      <c r="AH13" s="74">
        <f>IFERROR(IF(AG13&gt;0,AF13/AG13,"-"),"-")</f>
        <v/>
      </c>
      <c r="AI13" s="75" t="n">
        <v>1</v>
      </c>
      <c r="AJ13" s="74" t="n">
        <v>1</v>
      </c>
      <c r="AK13" s="74">
        <f>IFERROR(IF(AJ13&gt;0,AI13/AJ13,"-"),"-")</f>
        <v/>
      </c>
      <c r="AL13" s="75" t="n">
        <v>1</v>
      </c>
      <c r="AM13" s="74" t="n">
        <v>2</v>
      </c>
      <c r="AN13" s="74">
        <f>IFERROR(IF(AM13&gt;0,AL13/AM13,"-"),"-")</f>
        <v/>
      </c>
      <c r="AO13" s="75" t="n">
        <v>1</v>
      </c>
      <c r="AP13" s="74" t="n">
        <v>1</v>
      </c>
      <c r="AQ13" s="74">
        <f>IFERROR(IF(AP13&gt;0,AO13/AP13,"-"),"-")</f>
        <v/>
      </c>
      <c r="AR13" s="75" t="n">
        <v>1</v>
      </c>
      <c r="AS13" s="60" t="n"/>
      <c r="AT13" s="60" t="n"/>
    </row>
    <row r="14" ht="15" customHeight="1">
      <c r="A14" s="70" t="n">
        <v>7</v>
      </c>
      <c r="B14" s="71" t="inlineStr">
        <is>
          <t>Bel Collections</t>
        </is>
      </c>
      <c r="C14" s="70" t="inlineStr">
        <is>
          <t>B00003</t>
        </is>
      </c>
      <c r="D14" s="71" t="inlineStr">
        <is>
          <t>Amber Bel oud</t>
        </is>
      </c>
      <c r="E14" s="70" t="n"/>
      <c r="F14" s="72">
        <f>SUM(I14:AP14)</f>
        <v/>
      </c>
      <c r="G14" s="72">
        <f>SUM(J14:AQ14)</f>
        <v/>
      </c>
      <c r="H14" s="73">
        <f>IFERROR(IF(G14&gt;0,F14/G14,"-"),"-")</f>
        <v/>
      </c>
      <c r="I14" s="74" t="n"/>
      <c r="J14" s="74">
        <f>IFERROR(IF(I14&gt;0,H14/I14,"-"),"-")</f>
        <v/>
      </c>
      <c r="K14" s="75" t="n"/>
      <c r="L14" s="74" t="n">
        <v>2</v>
      </c>
      <c r="M14" s="74">
        <f>IFERROR(IF(L14&gt;0,K14/L14,"-"),"-")</f>
        <v/>
      </c>
      <c r="N14" s="75" t="n">
        <v>2</v>
      </c>
      <c r="O14" s="74" t="n">
        <v>1</v>
      </c>
      <c r="P14" s="74">
        <f>IFERROR(IF(O14&gt;0,N14/O14,"-"),"-")</f>
        <v/>
      </c>
      <c r="Q14" s="75" t="n"/>
      <c r="R14" s="74" t="n">
        <v>1</v>
      </c>
      <c r="S14" s="74">
        <f>IFERROR(IF(R14&gt;0,Q14/R14,"-"),"-")</f>
        <v/>
      </c>
      <c r="T14" s="75" t="n"/>
      <c r="U14" s="74" t="n">
        <v>1</v>
      </c>
      <c r="V14" s="74">
        <f>IFERROR(IF(U14&gt;0,T14/U14,"-"),"-")</f>
        <v/>
      </c>
      <c r="W14" s="75" t="n">
        <v>1</v>
      </c>
      <c r="X14" s="74" t="n"/>
      <c r="Y14" s="74">
        <f>IFERROR(IF(X14&gt;0,W14/X14,"-"),"-")</f>
        <v/>
      </c>
      <c r="Z14" s="75" t="n">
        <v>1</v>
      </c>
      <c r="AA14" s="74" t="n">
        <v>3</v>
      </c>
      <c r="AB14" s="74">
        <f>IFERROR(IF(AA14&gt;0,Z14/AA14,"-"),"-")</f>
        <v/>
      </c>
      <c r="AC14" s="75" t="n">
        <v>2</v>
      </c>
      <c r="AD14" s="74" t="n">
        <v>2</v>
      </c>
      <c r="AE14" s="74">
        <f>IFERROR(IF(AD14&gt;0,AC14/AD14,"-"),"-")</f>
        <v/>
      </c>
      <c r="AF14" s="75" t="n"/>
      <c r="AG14" s="74" t="n"/>
      <c r="AH14" s="74">
        <f>IFERROR(IF(AG14&gt;0,AF14/AG14,"-"),"-")</f>
        <v/>
      </c>
      <c r="AI14" s="75" t="n">
        <v>1</v>
      </c>
      <c r="AJ14" s="74" t="n"/>
      <c r="AK14" s="74">
        <f>IFERROR(IF(AJ14&gt;0,AI14/AJ14,"-"),"-")</f>
        <v/>
      </c>
      <c r="AL14" s="75" t="n"/>
      <c r="AM14" s="74" t="n">
        <v>1</v>
      </c>
      <c r="AN14" s="74">
        <f>IFERROR(IF(AM14&gt;0,AL14/AM14,"-"),"-")</f>
        <v/>
      </c>
      <c r="AO14" s="75" t="n"/>
      <c r="AP14" s="74" t="n">
        <v>1</v>
      </c>
      <c r="AQ14" s="74">
        <f>IFERROR(IF(AP14&gt;0,AO14/AP14,"-"),"-")</f>
        <v/>
      </c>
      <c r="AR14" s="75" t="n">
        <v>1</v>
      </c>
      <c r="AS14" s="60" t="n"/>
      <c r="AT14" s="60" t="n"/>
    </row>
    <row r="15" ht="15" customHeight="1">
      <c r="A15" s="70" t="n">
        <v>8</v>
      </c>
      <c r="B15" s="71" t="inlineStr">
        <is>
          <t>Bel Collections</t>
        </is>
      </c>
      <c r="C15" s="70" t="inlineStr">
        <is>
          <t>B00004</t>
        </is>
      </c>
      <c r="D15" s="71" t="inlineStr">
        <is>
          <t>Meydan</t>
        </is>
      </c>
      <c r="E15" s="70" t="n">
        <v>1</v>
      </c>
      <c r="F15" s="72">
        <f>SUM(I15:AP15)</f>
        <v/>
      </c>
      <c r="G15" s="72">
        <f>SUM(J15:AQ15)</f>
        <v/>
      </c>
      <c r="H15" s="73">
        <f>IFERROR(IF(G15&gt;0,F15/G15,"-"),"-")</f>
        <v/>
      </c>
      <c r="I15" s="74" t="n">
        <v>5</v>
      </c>
      <c r="J15" s="74">
        <f>IFERROR(IF(I15&gt;0,H15/I15,"-"),"-")</f>
        <v/>
      </c>
      <c r="K15" s="75" t="n">
        <v>3</v>
      </c>
      <c r="L15" s="74" t="n">
        <v>10</v>
      </c>
      <c r="M15" s="74">
        <f>IFERROR(IF(L15&gt;0,K15/L15,"-"),"-")</f>
        <v/>
      </c>
      <c r="N15" s="75" t="n">
        <v>2</v>
      </c>
      <c r="O15" s="74" t="n">
        <v>24</v>
      </c>
      <c r="P15" s="74">
        <f>IFERROR(IF(O15&gt;0,N15/O15,"-"),"-")</f>
        <v/>
      </c>
      <c r="Q15" s="75" t="n">
        <v>4</v>
      </c>
      <c r="R15" s="74" t="n">
        <v>6</v>
      </c>
      <c r="S15" s="74">
        <f>IFERROR(IF(R15&gt;0,Q15/R15,"-"),"-")</f>
        <v/>
      </c>
      <c r="T15" s="75" t="n">
        <v>3</v>
      </c>
      <c r="U15" s="74" t="n">
        <v>24</v>
      </c>
      <c r="V15" s="74">
        <f>IFERROR(IF(U15&gt;0,T15/U15,"-"),"-")</f>
        <v/>
      </c>
      <c r="W15" s="75" t="n">
        <v>2</v>
      </c>
      <c r="X15" s="74" t="n">
        <v>23</v>
      </c>
      <c r="Y15" s="74">
        <f>IFERROR(IF(X15&gt;0,W15/X15,"-"),"-")</f>
        <v/>
      </c>
      <c r="Z15" s="75" t="n">
        <v>4</v>
      </c>
      <c r="AA15" s="74" t="n">
        <v>18</v>
      </c>
      <c r="AB15" s="74">
        <f>IFERROR(IF(AA15&gt;0,Z15/AA15,"-"),"-")</f>
        <v/>
      </c>
      <c r="AC15" s="75" t="n">
        <v>2</v>
      </c>
      <c r="AD15" s="74" t="n">
        <v>13</v>
      </c>
      <c r="AE15" s="74">
        <f>IFERROR(IF(AD15&gt;0,AC15/AD15,"-"),"-")</f>
        <v/>
      </c>
      <c r="AF15" s="75" t="n">
        <v>1</v>
      </c>
      <c r="AG15" s="74" t="n"/>
      <c r="AH15" s="74">
        <f>IFERROR(IF(AG15&gt;0,AF15/AG15,"-"),"-")</f>
        <v/>
      </c>
      <c r="AI15" s="75" t="n">
        <v>1</v>
      </c>
      <c r="AJ15" s="74" t="n">
        <v>5</v>
      </c>
      <c r="AK15" s="74">
        <f>IFERROR(IF(AJ15&gt;0,AI15/AJ15,"-"),"-")</f>
        <v/>
      </c>
      <c r="AL15" s="75" t="n"/>
      <c r="AM15" s="74" t="n">
        <v>9</v>
      </c>
      <c r="AN15" s="74">
        <f>IFERROR(IF(AM15&gt;0,AL15/AM15,"-"),"-")</f>
        <v/>
      </c>
      <c r="AO15" s="75" t="n">
        <v>2</v>
      </c>
      <c r="AP15" s="74" t="n">
        <v>8</v>
      </c>
      <c r="AQ15" s="74">
        <f>IFERROR(IF(AP15&gt;0,AO15/AP15,"-"),"-")</f>
        <v/>
      </c>
      <c r="AR15" s="75" t="n">
        <v>1</v>
      </c>
      <c r="AS15" s="60" t="n"/>
      <c r="AT15" s="60" t="n"/>
    </row>
    <row r="16" ht="15" customHeight="1">
      <c r="A16" s="70" t="n">
        <v>9</v>
      </c>
      <c r="B16" s="71" t="inlineStr">
        <is>
          <t>Bel Collections</t>
        </is>
      </c>
      <c r="C16" s="70" t="inlineStr">
        <is>
          <t>B00005</t>
        </is>
      </c>
      <c r="D16" s="71" t="inlineStr">
        <is>
          <t>Mystery</t>
        </is>
      </c>
      <c r="E16" s="70" t="n">
        <v>8</v>
      </c>
      <c r="F16" s="72">
        <f>SUM(I16:AP16)</f>
        <v/>
      </c>
      <c r="G16" s="72">
        <f>SUM(J16:AQ16)</f>
        <v/>
      </c>
      <c r="H16" s="73">
        <f>IFERROR(IF(G16&gt;0,F16/G16,"-"),"-")</f>
        <v/>
      </c>
      <c r="I16" s="74" t="n">
        <v>24</v>
      </c>
      <c r="J16" s="74">
        <f>IFERROR(IF(I16&gt;0,H16/I16,"-"),"-")</f>
        <v/>
      </c>
      <c r="K16" s="75" t="n">
        <v>7</v>
      </c>
      <c r="L16" s="74" t="n">
        <v>47</v>
      </c>
      <c r="M16" s="74">
        <f>IFERROR(IF(L16&gt;0,K16/L16,"-"),"-")</f>
        <v/>
      </c>
      <c r="N16" s="75" t="n">
        <v>6</v>
      </c>
      <c r="O16" s="74" t="n">
        <v>10</v>
      </c>
      <c r="P16" s="74">
        <f>IFERROR(IF(O16&gt;0,N16/O16,"-"),"-")</f>
        <v/>
      </c>
      <c r="Q16" s="75" t="n">
        <v>5</v>
      </c>
      <c r="R16" s="74" t="n">
        <v>18</v>
      </c>
      <c r="S16" s="74">
        <f>IFERROR(IF(R16&gt;0,Q16/R16,"-"),"-")</f>
        <v/>
      </c>
      <c r="T16" s="75" t="n">
        <v>6</v>
      </c>
      <c r="U16" s="74" t="n">
        <v>36</v>
      </c>
      <c r="V16" s="74">
        <f>IFERROR(IF(U16&gt;0,T16/U16,"-"),"-")</f>
        <v/>
      </c>
      <c r="W16" s="75" t="n">
        <v>9</v>
      </c>
      <c r="X16" s="74" t="n">
        <v>24</v>
      </c>
      <c r="Y16" s="74">
        <f>IFERROR(IF(X16&gt;0,W16/X16,"-"),"-")</f>
        <v/>
      </c>
      <c r="Z16" s="75" t="n">
        <v>12</v>
      </c>
      <c r="AA16" s="74" t="n">
        <v>66</v>
      </c>
      <c r="AB16" s="74">
        <f>IFERROR(IF(AA16&gt;0,Z16/AA16,"-"),"-")</f>
        <v/>
      </c>
      <c r="AC16" s="75" t="n">
        <v>11</v>
      </c>
      <c r="AD16" s="74" t="n">
        <v>38</v>
      </c>
      <c r="AE16" s="74">
        <f>IFERROR(IF(AD16&gt;0,AC16/AD16,"-"),"-")</f>
        <v/>
      </c>
      <c r="AF16" s="75" t="n">
        <v>6</v>
      </c>
      <c r="AG16" s="74" t="n"/>
      <c r="AH16" s="74">
        <f>IFERROR(IF(AG16&gt;0,AF16/AG16,"-"),"-")</f>
        <v/>
      </c>
      <c r="AI16" s="75" t="n">
        <v>2</v>
      </c>
      <c r="AJ16" s="74" t="n">
        <v>11</v>
      </c>
      <c r="AK16" s="74">
        <f>IFERROR(IF(AJ16&gt;0,AI16/AJ16,"-"),"-")</f>
        <v/>
      </c>
      <c r="AL16" s="75" t="n">
        <v>2</v>
      </c>
      <c r="AM16" s="74" t="n">
        <v>14</v>
      </c>
      <c r="AN16" s="74">
        <f>IFERROR(IF(AM16&gt;0,AL16/AM16,"-"),"-")</f>
        <v/>
      </c>
      <c r="AO16" s="75" t="n">
        <v>3</v>
      </c>
      <c r="AP16" s="74" t="n">
        <v>16</v>
      </c>
      <c r="AQ16" s="74">
        <f>IFERROR(IF(AP16&gt;0,AO16/AP16,"-"),"-")</f>
        <v/>
      </c>
      <c r="AR16" s="75" t="n">
        <v>5</v>
      </c>
      <c r="AS16" s="60" t="n"/>
      <c r="AT16" s="60" t="n"/>
    </row>
    <row r="17" ht="15" customHeight="1">
      <c r="A17" s="70" t="n">
        <v>10</v>
      </c>
      <c r="B17" s="71" t="inlineStr">
        <is>
          <t>Bel Collections</t>
        </is>
      </c>
      <c r="C17" s="70" t="inlineStr">
        <is>
          <t>B00006</t>
        </is>
      </c>
      <c r="D17" s="71" t="inlineStr">
        <is>
          <t>Mersal</t>
        </is>
      </c>
      <c r="E17" s="70" t="n"/>
      <c r="F17" s="72">
        <f>SUM(I17:AP17)</f>
        <v/>
      </c>
      <c r="G17" s="72">
        <f>SUM(J17:AQ17)</f>
        <v/>
      </c>
      <c r="H17" s="73">
        <f>IFERROR(IF(G17&gt;0,F17/G17,"-"),"-")</f>
        <v/>
      </c>
      <c r="I17" s="74" t="n">
        <v>1</v>
      </c>
      <c r="J17" s="74">
        <f>IFERROR(IF(I17&gt;0,H17/I17,"-"),"-")</f>
        <v/>
      </c>
      <c r="K17" s="75" t="n"/>
      <c r="L17" s="74" t="n"/>
      <c r="M17" s="74">
        <f>IFERROR(IF(L17&gt;0,K17/L17,"-"),"-")</f>
        <v/>
      </c>
      <c r="N17" s="75" t="n">
        <v>1</v>
      </c>
      <c r="O17" s="74" t="n">
        <v>1</v>
      </c>
      <c r="P17" s="74">
        <f>IFERROR(IF(O17&gt;0,N17/O17,"-"),"-")</f>
        <v/>
      </c>
      <c r="Q17" s="75" t="n"/>
      <c r="R17" s="74" t="n">
        <v>1</v>
      </c>
      <c r="S17" s="74">
        <f>IFERROR(IF(R17&gt;0,Q17/R17,"-"),"-")</f>
        <v/>
      </c>
      <c r="T17" s="75" t="n"/>
      <c r="U17" s="74" t="n">
        <v>1</v>
      </c>
      <c r="V17" s="74">
        <f>IFERROR(IF(U17&gt;0,T17/U17,"-"),"-")</f>
        <v/>
      </c>
      <c r="W17" s="75" t="n">
        <v>1</v>
      </c>
      <c r="X17" s="74" t="n">
        <v>4</v>
      </c>
      <c r="Y17" s="74">
        <f>IFERROR(IF(X17&gt;0,W17/X17,"-"),"-")</f>
        <v/>
      </c>
      <c r="Z17" s="75" t="n">
        <v>1</v>
      </c>
      <c r="AA17" s="74" t="n">
        <v>7</v>
      </c>
      <c r="AB17" s="74">
        <f>IFERROR(IF(AA17&gt;0,Z17/AA17,"-"),"-")</f>
        <v/>
      </c>
      <c r="AC17" s="75" t="n">
        <v>2</v>
      </c>
      <c r="AD17" s="74" t="n">
        <v>6</v>
      </c>
      <c r="AE17" s="74">
        <f>IFERROR(IF(AD17&gt;0,AC17/AD17,"-"),"-")</f>
        <v/>
      </c>
      <c r="AF17" s="75" t="n">
        <v>2</v>
      </c>
      <c r="AG17" s="74" t="n"/>
      <c r="AH17" s="74">
        <f>IFERROR(IF(AG17&gt;0,AF17/AG17,"-"),"-")</f>
        <v/>
      </c>
      <c r="AI17" s="75" t="n">
        <v>1</v>
      </c>
      <c r="AJ17" s="74" t="n"/>
      <c r="AK17" s="74">
        <f>IFERROR(IF(AJ17&gt;0,AI17/AJ17,"-"),"-")</f>
        <v/>
      </c>
      <c r="AL17" s="75" t="n"/>
      <c r="AM17" s="74" t="n"/>
      <c r="AN17" s="74">
        <f>IFERROR(IF(AM17&gt;0,AL17/AM17,"-"),"-")</f>
        <v/>
      </c>
      <c r="AO17" s="75" t="n"/>
      <c r="AP17" s="74" t="n">
        <v>1</v>
      </c>
      <c r="AQ17" s="74">
        <f>IFERROR(IF(AP17&gt;0,AO17/AP17,"-"),"-")</f>
        <v/>
      </c>
      <c r="AR17" s="75" t="n"/>
      <c r="AS17" s="60" t="n"/>
      <c r="AT17" s="60" t="n"/>
    </row>
    <row r="18" ht="15" customHeight="1">
      <c r="A18" s="70" t="n">
        <v>11</v>
      </c>
      <c r="B18" s="71" t="inlineStr">
        <is>
          <t>Bel Collections</t>
        </is>
      </c>
      <c r="C18" s="70" t="inlineStr">
        <is>
          <t>B00007</t>
        </is>
      </c>
      <c r="D18" s="71" t="inlineStr">
        <is>
          <t>Peaceful Life</t>
        </is>
      </c>
      <c r="E18" s="70" t="n">
        <v>1</v>
      </c>
      <c r="F18" s="72">
        <f>SUM(I18:AP18)</f>
        <v/>
      </c>
      <c r="G18" s="72">
        <f>SUM(J18:AQ18)</f>
        <v/>
      </c>
      <c r="H18" s="73">
        <f>IFERROR(IF(G18&gt;0,F18/G18,"-"),"-")</f>
        <v/>
      </c>
      <c r="I18" s="74" t="n"/>
      <c r="J18" s="74">
        <f>IFERROR(IF(I18&gt;0,H18/I18,"-"),"-")</f>
        <v/>
      </c>
      <c r="K18" s="75" t="n"/>
      <c r="L18" s="74" t="n"/>
      <c r="M18" s="74">
        <f>IFERROR(IF(L18&gt;0,K18/L18,"-"),"-")</f>
        <v/>
      </c>
      <c r="N18" s="75" t="n">
        <v>1</v>
      </c>
      <c r="O18" s="74" t="n">
        <v>2</v>
      </c>
      <c r="P18" s="74">
        <f>IFERROR(IF(O18&gt;0,N18/O18,"-"),"-")</f>
        <v/>
      </c>
      <c r="Q18" s="75" t="n"/>
      <c r="R18" s="74" t="n">
        <v>3</v>
      </c>
      <c r="S18" s="74">
        <f>IFERROR(IF(R18&gt;0,Q18/R18,"-"),"-")</f>
        <v/>
      </c>
      <c r="T18" s="75" t="n"/>
      <c r="U18" s="74" t="n">
        <v>3</v>
      </c>
      <c r="V18" s="74">
        <f>IFERROR(IF(U18&gt;0,T18/U18,"-"),"-")</f>
        <v/>
      </c>
      <c r="W18" s="75" t="n">
        <v>1</v>
      </c>
      <c r="X18" s="74" t="n">
        <v>2</v>
      </c>
      <c r="Y18" s="74">
        <f>IFERROR(IF(X18&gt;0,W18/X18,"-"),"-")</f>
        <v/>
      </c>
      <c r="Z18" s="75" t="n">
        <v>2</v>
      </c>
      <c r="AA18" s="74" t="n">
        <v>1</v>
      </c>
      <c r="AB18" s="74">
        <f>IFERROR(IF(AA18&gt;0,Z18/AA18,"-"),"-")</f>
        <v/>
      </c>
      <c r="AC18" s="75" t="n">
        <v>2</v>
      </c>
      <c r="AD18" s="74" t="n">
        <v>3</v>
      </c>
      <c r="AE18" s="74">
        <f>IFERROR(IF(AD18&gt;0,AC18/AD18,"-"),"-")</f>
        <v/>
      </c>
      <c r="AF18" s="75" t="n">
        <v>1</v>
      </c>
      <c r="AG18" s="74" t="n"/>
      <c r="AH18" s="74">
        <f>IFERROR(IF(AG18&gt;0,AF18/AG18,"-"),"-")</f>
        <v/>
      </c>
      <c r="AI18" s="75" t="n">
        <v>1</v>
      </c>
      <c r="AJ18" s="74" t="n">
        <v>1</v>
      </c>
      <c r="AK18" s="74">
        <f>IFERROR(IF(AJ18&gt;0,AI18/AJ18,"-"),"-")</f>
        <v/>
      </c>
      <c r="AL18" s="75" t="n">
        <v>1</v>
      </c>
      <c r="AM18" s="74" t="n">
        <v>1</v>
      </c>
      <c r="AN18" s="74">
        <f>IFERROR(IF(AM18&gt;0,AL18/AM18,"-"),"-")</f>
        <v/>
      </c>
      <c r="AO18" s="75" t="n"/>
      <c r="AP18" s="74" t="n">
        <v>1</v>
      </c>
      <c r="AQ18" s="74">
        <f>IFERROR(IF(AP18&gt;0,AO18/AP18,"-"),"-")</f>
        <v/>
      </c>
      <c r="AR18" s="75" t="n">
        <v>1</v>
      </c>
      <c r="AS18" s="60" t="n"/>
      <c r="AT18" s="60" t="n"/>
    </row>
    <row r="19" ht="15" customHeight="1">
      <c r="A19" s="70" t="n">
        <v>12</v>
      </c>
      <c r="B19" s="71" t="inlineStr">
        <is>
          <t>Bel Collections</t>
        </is>
      </c>
      <c r="C19" s="70" t="inlineStr">
        <is>
          <t>B00008</t>
        </is>
      </c>
      <c r="D19" s="71" t="inlineStr">
        <is>
          <t>Midnight Glow</t>
        </is>
      </c>
      <c r="E19" s="70" t="n">
        <v>1</v>
      </c>
      <c r="F19" s="72">
        <f>SUM(I19:AP19)</f>
        <v/>
      </c>
      <c r="G19" s="72">
        <f>SUM(J19:AQ19)</f>
        <v/>
      </c>
      <c r="H19" s="73">
        <f>IFERROR(IF(G19&gt;0,F19/G19,"-"),"-")</f>
        <v/>
      </c>
      <c r="I19" s="74" t="n">
        <v>2</v>
      </c>
      <c r="J19" s="74">
        <f>IFERROR(IF(I19&gt;0,H19/I19,"-"),"-")</f>
        <v/>
      </c>
      <c r="K19" s="75" t="n">
        <v>1</v>
      </c>
      <c r="L19" s="74" t="n">
        <v>47</v>
      </c>
      <c r="M19" s="74">
        <f>IFERROR(IF(L19&gt;0,K19/L19,"-"),"-")</f>
        <v/>
      </c>
      <c r="N19" s="75" t="n">
        <v>3</v>
      </c>
      <c r="O19" s="74" t="n">
        <v>2</v>
      </c>
      <c r="P19" s="74">
        <f>IFERROR(IF(O19&gt;0,N19/O19,"-"),"-")</f>
        <v/>
      </c>
      <c r="Q19" s="75" t="n">
        <v>2</v>
      </c>
      <c r="R19" s="74" t="n">
        <v>6</v>
      </c>
      <c r="S19" s="74">
        <f>IFERROR(IF(R19&gt;0,Q19/R19,"-"),"-")</f>
        <v/>
      </c>
      <c r="T19" s="75" t="n">
        <v>3</v>
      </c>
      <c r="U19" s="74" t="n">
        <v>15</v>
      </c>
      <c r="V19" s="74">
        <f>IFERROR(IF(U19&gt;0,T19/U19,"-"),"-")</f>
        <v/>
      </c>
      <c r="W19" s="75" t="n">
        <v>2</v>
      </c>
      <c r="X19" s="74" t="n">
        <v>12</v>
      </c>
      <c r="Y19" s="74">
        <f>IFERROR(IF(X19&gt;0,W19/X19,"-"),"-")</f>
        <v/>
      </c>
      <c r="Z19" s="75" t="n">
        <v>4</v>
      </c>
      <c r="AA19" s="74" t="n">
        <v>7</v>
      </c>
      <c r="AB19" s="74">
        <f>IFERROR(IF(AA19&gt;0,Z19/AA19,"-"),"-")</f>
        <v/>
      </c>
      <c r="AC19" s="75" t="n">
        <v>2</v>
      </c>
      <c r="AD19" s="74" t="n">
        <v>7</v>
      </c>
      <c r="AE19" s="74">
        <f>IFERROR(IF(AD19&gt;0,AC19/AD19,"-"),"-")</f>
        <v/>
      </c>
      <c r="AF19" s="75" t="n">
        <v>1</v>
      </c>
      <c r="AG19" s="74" t="n"/>
      <c r="AH19" s="74">
        <f>IFERROR(IF(AG19&gt;0,AF19/AG19,"-"),"-")</f>
        <v/>
      </c>
      <c r="AI19" s="75" t="n">
        <v>1</v>
      </c>
      <c r="AJ19" s="74" t="n">
        <v>3</v>
      </c>
      <c r="AK19" s="74">
        <f>IFERROR(IF(AJ19&gt;0,AI19/AJ19,"-"),"-")</f>
        <v/>
      </c>
      <c r="AL19" s="75" t="n"/>
      <c r="AM19" s="74" t="n">
        <v>1</v>
      </c>
      <c r="AN19" s="74">
        <f>IFERROR(IF(AM19&gt;0,AL19/AM19,"-"),"-")</f>
        <v/>
      </c>
      <c r="AO19" s="75" t="n">
        <v>2</v>
      </c>
      <c r="AP19" s="74" t="n">
        <v>7</v>
      </c>
      <c r="AQ19" s="74">
        <f>IFERROR(IF(AP19&gt;0,AO19/AP19,"-"),"-")</f>
        <v/>
      </c>
      <c r="AR19" s="75" t="n">
        <v>3</v>
      </c>
      <c r="AS19" s="60" t="n"/>
      <c r="AT19" s="60" t="n"/>
    </row>
    <row r="20" ht="15" customHeight="1">
      <c r="A20" s="70" t="n">
        <v>13</v>
      </c>
      <c r="B20" s="71" t="inlineStr">
        <is>
          <t>Bel Collections</t>
        </is>
      </c>
      <c r="C20" s="70" t="inlineStr">
        <is>
          <t>B00010</t>
        </is>
      </c>
      <c r="D20" s="71" t="inlineStr">
        <is>
          <t>Sakura</t>
        </is>
      </c>
      <c r="E20" s="70" t="n">
        <v>6</v>
      </c>
      <c r="F20" s="72">
        <f>SUM(I20:AP20)</f>
        <v/>
      </c>
      <c r="G20" s="72">
        <f>SUM(J20:AQ20)</f>
        <v/>
      </c>
      <c r="H20" s="73">
        <f>IFERROR(IF(G20&gt;0,F20/G20,"-"),"-")</f>
        <v/>
      </c>
      <c r="I20" s="74" t="n">
        <v>23</v>
      </c>
      <c r="J20" s="74">
        <f>IFERROR(IF(I20&gt;0,H20/I20,"-"),"-")</f>
        <v/>
      </c>
      <c r="K20" s="75" t="n">
        <v>8</v>
      </c>
      <c r="L20" s="74" t="n">
        <v>2</v>
      </c>
      <c r="M20" s="74">
        <f>IFERROR(IF(L20&gt;0,K20/L20,"-"),"-")</f>
        <v/>
      </c>
      <c r="N20" s="75" t="n">
        <v>3</v>
      </c>
      <c r="O20" s="74" t="n">
        <v>10</v>
      </c>
      <c r="P20" s="74">
        <f>IFERROR(IF(O20&gt;0,N20/O20,"-"),"-")</f>
        <v/>
      </c>
      <c r="Q20" s="75" t="n">
        <v>4</v>
      </c>
      <c r="R20" s="74" t="n">
        <v>38</v>
      </c>
      <c r="S20" s="74">
        <f>IFERROR(IF(R20&gt;0,Q20/R20,"-"),"-")</f>
        <v/>
      </c>
      <c r="T20" s="75" t="n">
        <v>5</v>
      </c>
      <c r="U20" s="74" t="n">
        <v>35</v>
      </c>
      <c r="V20" s="74">
        <f>IFERROR(IF(U20&gt;0,T20/U20,"-"),"-")</f>
        <v/>
      </c>
      <c r="W20" s="75" t="n">
        <v>5</v>
      </c>
      <c r="X20" s="74" t="n">
        <v>42</v>
      </c>
      <c r="Y20" s="74">
        <f>IFERROR(IF(X20&gt;0,W20/X20,"-"),"-")</f>
        <v/>
      </c>
      <c r="Z20" s="75" t="n">
        <v>11</v>
      </c>
      <c r="AA20" s="74" t="n">
        <v>62</v>
      </c>
      <c r="AB20" s="74">
        <f>IFERROR(IF(AA20&gt;0,Z20/AA20,"-"),"-")</f>
        <v/>
      </c>
      <c r="AC20" s="75" t="n">
        <v>6</v>
      </c>
      <c r="AD20" s="74" t="n">
        <v>54</v>
      </c>
      <c r="AE20" s="74">
        <f>IFERROR(IF(AD20&gt;0,AC20/AD20,"-"),"-")</f>
        <v/>
      </c>
      <c r="AF20" s="75" t="n">
        <v>2</v>
      </c>
      <c r="AG20" s="74" t="n"/>
      <c r="AH20" s="74">
        <f>IFERROR(IF(AG20&gt;0,AF20/AG20,"-"),"-")</f>
        <v/>
      </c>
      <c r="AI20" s="75" t="n">
        <v>4</v>
      </c>
      <c r="AJ20" s="74" t="n">
        <v>25</v>
      </c>
      <c r="AK20" s="74">
        <f>IFERROR(IF(AJ20&gt;0,AI20/AJ20,"-"),"-")</f>
        <v/>
      </c>
      <c r="AL20" s="75" t="n">
        <v>2</v>
      </c>
      <c r="AM20" s="74" t="n">
        <v>12</v>
      </c>
      <c r="AN20" s="74">
        <f>IFERROR(IF(AM20&gt;0,AL20/AM20,"-"),"-")</f>
        <v/>
      </c>
      <c r="AO20" s="75" t="n">
        <v>3</v>
      </c>
      <c r="AP20" s="74" t="n">
        <v>25</v>
      </c>
      <c r="AQ20" s="74">
        <f>IFERROR(IF(AP20&gt;0,AO20/AP20,"-"),"-")</f>
        <v/>
      </c>
      <c r="AR20" s="75" t="n">
        <v>5</v>
      </c>
      <c r="AS20" s="60" t="n"/>
      <c r="AT20" s="60" t="n"/>
    </row>
    <row r="21" ht="15" customHeight="1">
      <c r="A21" s="70" t="n">
        <v>14</v>
      </c>
      <c r="B21" s="71" t="inlineStr">
        <is>
          <t>Bel Collections</t>
        </is>
      </c>
      <c r="C21" s="70" t="inlineStr">
        <is>
          <t>B00012</t>
        </is>
      </c>
      <c r="D21" s="71" t="inlineStr">
        <is>
          <t>Ambergris</t>
        </is>
      </c>
      <c r="E21" s="70" t="n">
        <v>1</v>
      </c>
      <c r="F21" s="72">
        <f>SUM(I21:AP21)</f>
        <v/>
      </c>
      <c r="G21" s="72">
        <f>SUM(J21:AQ21)</f>
        <v/>
      </c>
      <c r="H21" s="73">
        <f>IFERROR(IF(G21&gt;0,F21/G21,"-"),"-")</f>
        <v/>
      </c>
      <c r="I21" s="74" t="n">
        <v>1</v>
      </c>
      <c r="J21" s="74">
        <f>IFERROR(IF(I21&gt;0,H21/I21,"-"),"-")</f>
        <v/>
      </c>
      <c r="K21" s="75" t="n">
        <v>1</v>
      </c>
      <c r="L21" s="74" t="n">
        <v>5</v>
      </c>
      <c r="M21" s="74">
        <f>IFERROR(IF(L21&gt;0,K21/L21,"-"),"-")</f>
        <v/>
      </c>
      <c r="N21" s="75" t="n">
        <v>1</v>
      </c>
      <c r="O21" s="74" t="n">
        <v>1</v>
      </c>
      <c r="P21" s="74">
        <f>IFERROR(IF(O21&gt;0,N21/O21,"-"),"-")</f>
        <v/>
      </c>
      <c r="Q21" s="75" t="n"/>
      <c r="R21" s="74" t="n">
        <v>4</v>
      </c>
      <c r="S21" s="74">
        <f>IFERROR(IF(R21&gt;0,Q21/R21,"-"),"-")</f>
        <v/>
      </c>
      <c r="T21" s="75" t="n"/>
      <c r="U21" s="74" t="n">
        <v>5</v>
      </c>
      <c r="V21" s="74">
        <f>IFERROR(IF(U21&gt;0,T21/U21,"-"),"-")</f>
        <v/>
      </c>
      <c r="W21" s="75" t="n"/>
      <c r="X21" s="74" t="n">
        <v>2</v>
      </c>
      <c r="Y21" s="74">
        <f>IFERROR(IF(X21&gt;0,W21/X21,"-"),"-")</f>
        <v/>
      </c>
      <c r="Z21" s="75" t="n">
        <v>1</v>
      </c>
      <c r="AA21" s="74" t="n">
        <v>3</v>
      </c>
      <c r="AB21" s="74">
        <f>IFERROR(IF(AA21&gt;0,Z21/AA21,"-"),"-")</f>
        <v/>
      </c>
      <c r="AC21" s="75" t="n">
        <v>2</v>
      </c>
      <c r="AD21" s="74" t="n">
        <v>2</v>
      </c>
      <c r="AE21" s="74">
        <f>IFERROR(IF(AD21&gt;0,AC21/AD21,"-"),"-")</f>
        <v/>
      </c>
      <c r="AF21" s="75" t="n">
        <v>1</v>
      </c>
      <c r="AG21" s="74" t="n"/>
      <c r="AH21" s="74">
        <f>IFERROR(IF(AG21&gt;0,AF21/AG21,"-"),"-")</f>
        <v/>
      </c>
      <c r="AI21" s="75" t="n">
        <v>2</v>
      </c>
      <c r="AJ21" s="74" t="n">
        <v>2</v>
      </c>
      <c r="AK21" s="74">
        <f>IFERROR(IF(AJ21&gt;0,AI21/AJ21,"-"),"-")</f>
        <v/>
      </c>
      <c r="AL21" s="75" t="n">
        <v>1</v>
      </c>
      <c r="AM21" s="74" t="n">
        <v>3</v>
      </c>
      <c r="AN21" s="74">
        <f>IFERROR(IF(AM21&gt;0,AL21/AM21,"-"),"-")</f>
        <v/>
      </c>
      <c r="AO21" s="75" t="n"/>
      <c r="AP21" s="74" t="n">
        <v>1</v>
      </c>
      <c r="AQ21" s="74">
        <f>IFERROR(IF(AP21&gt;0,AO21/AP21,"-"),"-")</f>
        <v/>
      </c>
      <c r="AR21" s="75" t="n">
        <v>1</v>
      </c>
      <c r="AS21" s="60" t="n"/>
      <c r="AT21" s="60" t="n"/>
    </row>
    <row r="22" ht="15" customHeight="1">
      <c r="A22" s="70" t="n">
        <v>15</v>
      </c>
      <c r="B22" s="71" t="inlineStr">
        <is>
          <t>Bel Collections</t>
        </is>
      </c>
      <c r="C22" s="70" t="inlineStr">
        <is>
          <t>B00014</t>
        </is>
      </c>
      <c r="D22" s="71" t="inlineStr">
        <is>
          <t>Firewood</t>
        </is>
      </c>
      <c r="E22" s="70" t="n">
        <v>2</v>
      </c>
      <c r="F22" s="72">
        <f>SUM(I22:AP22)</f>
        <v/>
      </c>
      <c r="G22" s="72">
        <f>SUM(J22:AQ22)</f>
        <v/>
      </c>
      <c r="H22" s="73">
        <f>IFERROR(IF(G22&gt;0,F22/G22,"-"),"-")</f>
        <v/>
      </c>
      <c r="I22" s="74" t="n">
        <v>2</v>
      </c>
      <c r="J22" s="74">
        <f>IFERROR(IF(I22&gt;0,H22/I22,"-"),"-")</f>
        <v/>
      </c>
      <c r="K22" s="75" t="n">
        <v>1</v>
      </c>
      <c r="L22" s="74" t="n">
        <v>11</v>
      </c>
      <c r="M22" s="74">
        <f>IFERROR(IF(L22&gt;0,K22/L22,"-"),"-")</f>
        <v/>
      </c>
      <c r="N22" s="75" t="n">
        <v>2</v>
      </c>
      <c r="O22" s="74" t="n">
        <v>3</v>
      </c>
      <c r="P22" s="74">
        <f>IFERROR(IF(O22&gt;0,N22/O22,"-"),"-")</f>
        <v/>
      </c>
      <c r="Q22" s="75" t="n">
        <v>2</v>
      </c>
      <c r="R22" s="74" t="n">
        <v>12</v>
      </c>
      <c r="S22" s="74">
        <f>IFERROR(IF(R22&gt;0,Q22/R22,"-"),"-")</f>
        <v/>
      </c>
      <c r="T22" s="75" t="n"/>
      <c r="U22" s="74" t="n">
        <v>6</v>
      </c>
      <c r="V22" s="74">
        <f>IFERROR(IF(U22&gt;0,T22/U22,"-"),"-")</f>
        <v/>
      </c>
      <c r="W22" s="75" t="n">
        <v>3</v>
      </c>
      <c r="X22" s="74" t="n">
        <v>13</v>
      </c>
      <c r="Y22" s="74">
        <f>IFERROR(IF(X22&gt;0,W22/X22,"-"),"-")</f>
        <v/>
      </c>
      <c r="Z22" s="75" t="n">
        <v>4</v>
      </c>
      <c r="AA22" s="74" t="n">
        <v>10</v>
      </c>
      <c r="AB22" s="74">
        <f>IFERROR(IF(AA22&gt;0,Z22/AA22,"-"),"-")</f>
        <v/>
      </c>
      <c r="AC22" s="75" t="n">
        <v>1</v>
      </c>
      <c r="AD22" s="74" t="n">
        <v>22</v>
      </c>
      <c r="AE22" s="74">
        <f>IFERROR(IF(AD22&gt;0,AC22/AD22,"-"),"-")</f>
        <v/>
      </c>
      <c r="AF22" s="75" t="n">
        <v>2</v>
      </c>
      <c r="AG22" s="74" t="n"/>
      <c r="AH22" s="74">
        <f>IFERROR(IF(AG22&gt;0,AF22/AG22,"-"),"-")</f>
        <v/>
      </c>
      <c r="AI22" s="75" t="n">
        <v>3</v>
      </c>
      <c r="AJ22" s="74" t="n">
        <v>5</v>
      </c>
      <c r="AK22" s="74">
        <f>IFERROR(IF(AJ22&gt;0,AI22/AJ22,"-"),"-")</f>
        <v/>
      </c>
      <c r="AL22" s="75" t="n">
        <v>1</v>
      </c>
      <c r="AM22" s="74" t="n">
        <v>5</v>
      </c>
      <c r="AN22" s="74">
        <f>IFERROR(IF(AM22&gt;0,AL22/AM22,"-"),"-")</f>
        <v/>
      </c>
      <c r="AO22" s="75" t="n">
        <v>3</v>
      </c>
      <c r="AP22" s="74" t="n">
        <v>7</v>
      </c>
      <c r="AQ22" s="74">
        <f>IFERROR(IF(AP22&gt;0,AO22/AP22,"-"),"-")</f>
        <v/>
      </c>
      <c r="AR22" s="75" t="n">
        <v>2</v>
      </c>
      <c r="AS22" s="60" t="n"/>
      <c r="AT22" s="60" t="n"/>
    </row>
    <row r="23" ht="15" customHeight="1">
      <c r="A23" s="70" t="n">
        <v>16</v>
      </c>
      <c r="B23" s="71" t="inlineStr">
        <is>
          <t>Bel Collections</t>
        </is>
      </c>
      <c r="C23" s="70" t="inlineStr">
        <is>
          <t>B00015</t>
        </is>
      </c>
      <c r="D23" s="71" t="inlineStr">
        <is>
          <t>Hidden Leather</t>
        </is>
      </c>
      <c r="E23" s="70" t="n">
        <v>4</v>
      </c>
      <c r="F23" s="72">
        <f>SUM(I23:AP23)</f>
        <v/>
      </c>
      <c r="G23" s="72">
        <f>SUM(J23:AQ23)</f>
        <v/>
      </c>
      <c r="H23" s="73">
        <f>IFERROR(IF(G23&gt;0,F23/G23,"-"),"-")</f>
        <v/>
      </c>
      <c r="I23" s="74" t="n">
        <v>8</v>
      </c>
      <c r="J23" s="74">
        <f>IFERROR(IF(I23&gt;0,H23/I23,"-"),"-")</f>
        <v/>
      </c>
      <c r="K23" s="75" t="n">
        <v>5</v>
      </c>
      <c r="L23" s="74" t="n"/>
      <c r="M23" s="74">
        <f>IFERROR(IF(L23&gt;0,K23/L23,"-"),"-")</f>
        <v/>
      </c>
      <c r="N23" s="75" t="n">
        <v>4</v>
      </c>
      <c r="O23" s="74" t="n">
        <v>6</v>
      </c>
      <c r="P23" s="74">
        <f>IFERROR(IF(O23&gt;0,N23/O23,"-"),"-")</f>
        <v/>
      </c>
      <c r="Q23" s="75" t="n">
        <v>2</v>
      </c>
      <c r="R23" s="74" t="n">
        <v>16</v>
      </c>
      <c r="S23" s="74">
        <f>IFERROR(IF(R23&gt;0,Q23/R23,"-"),"-")</f>
        <v/>
      </c>
      <c r="T23" s="75" t="n">
        <v>1</v>
      </c>
      <c r="U23" s="74" t="n">
        <v>12</v>
      </c>
      <c r="V23" s="74">
        <f>IFERROR(IF(U23&gt;0,T23/U23,"-"),"-")</f>
        <v/>
      </c>
      <c r="W23" s="75" t="n">
        <v>3</v>
      </c>
      <c r="X23" s="74" t="n">
        <v>16</v>
      </c>
      <c r="Y23" s="74">
        <f>IFERROR(IF(X23&gt;0,W23/X23,"-"),"-")</f>
        <v/>
      </c>
      <c r="Z23" s="75" t="n">
        <v>6</v>
      </c>
      <c r="AA23" s="74" t="n">
        <v>24</v>
      </c>
      <c r="AB23" s="74">
        <f>IFERROR(IF(AA23&gt;0,Z23/AA23,"-"),"-")</f>
        <v/>
      </c>
      <c r="AC23" s="75" t="n">
        <v>4</v>
      </c>
      <c r="AD23" s="74" t="n">
        <v>14</v>
      </c>
      <c r="AE23" s="74">
        <f>IFERROR(IF(AD23&gt;0,AC23/AD23,"-"),"-")</f>
        <v/>
      </c>
      <c r="AF23" s="75" t="n">
        <v>2</v>
      </c>
      <c r="AG23" s="74" t="n"/>
      <c r="AH23" s="74">
        <f>IFERROR(IF(AG23&gt;0,AF23/AG23,"-"),"-")</f>
        <v/>
      </c>
      <c r="AI23" s="75" t="n">
        <v>2</v>
      </c>
      <c r="AJ23" s="74" t="n">
        <v>18</v>
      </c>
      <c r="AK23" s="74">
        <f>IFERROR(IF(AJ23&gt;0,AI23/AJ23,"-"),"-")</f>
        <v/>
      </c>
      <c r="AL23" s="75" t="n">
        <v>1</v>
      </c>
      <c r="AM23" s="74" t="n">
        <v>5</v>
      </c>
      <c r="AN23" s="74">
        <f>IFERROR(IF(AM23&gt;0,AL23/AM23,"-"),"-")</f>
        <v/>
      </c>
      <c r="AO23" s="75" t="n">
        <v>3</v>
      </c>
      <c r="AP23" s="74" t="n">
        <v>8</v>
      </c>
      <c r="AQ23" s="74">
        <f>IFERROR(IF(AP23&gt;0,AO23/AP23,"-"),"-")</f>
        <v/>
      </c>
      <c r="AR23" s="75" t="n">
        <v>3</v>
      </c>
      <c r="AS23" s="60" t="n"/>
      <c r="AT23" s="60" t="n"/>
    </row>
    <row r="24" ht="15" customHeight="1">
      <c r="A24" s="70" t="n">
        <v>17</v>
      </c>
      <c r="B24" s="71" t="inlineStr">
        <is>
          <t>Bel Collections</t>
        </is>
      </c>
      <c r="C24" s="70" t="inlineStr">
        <is>
          <t>B00016</t>
        </is>
      </c>
      <c r="D24" s="71" t="inlineStr">
        <is>
          <t>Mysterious Rose</t>
        </is>
      </c>
      <c r="E24" s="70" t="n">
        <v>6</v>
      </c>
      <c r="F24" s="72">
        <f>SUM(I24:AP24)</f>
        <v/>
      </c>
      <c r="G24" s="72">
        <f>SUM(J24:AQ24)</f>
        <v/>
      </c>
      <c r="H24" s="73">
        <f>IFERROR(IF(G24&gt;0,F24/G24,"-"),"-")</f>
        <v/>
      </c>
      <c r="I24" s="74" t="n">
        <v>4</v>
      </c>
      <c r="J24" s="74">
        <f>IFERROR(IF(I24&gt;0,H24/I24,"-"),"-")</f>
        <v/>
      </c>
      <c r="K24" s="75" t="n">
        <v>5</v>
      </c>
      <c r="L24" s="74" t="n">
        <v>25</v>
      </c>
      <c r="M24" s="74">
        <f>IFERROR(IF(L24&gt;0,K24/L24,"-"),"-")</f>
        <v/>
      </c>
      <c r="N24" s="75" t="n">
        <v>4</v>
      </c>
      <c r="O24" s="74" t="n">
        <v>3</v>
      </c>
      <c r="P24" s="74">
        <f>IFERROR(IF(O24&gt;0,N24/O24,"-"),"-")</f>
        <v/>
      </c>
      <c r="Q24" s="75" t="n"/>
      <c r="R24" s="74" t="n">
        <v>9</v>
      </c>
      <c r="S24" s="74">
        <f>IFERROR(IF(R24&gt;0,Q24/R24,"-"),"-")</f>
        <v/>
      </c>
      <c r="T24" s="75" t="n">
        <v>4</v>
      </c>
      <c r="U24" s="74" t="n">
        <v>12</v>
      </c>
      <c r="V24" s="74">
        <f>IFERROR(IF(U24&gt;0,T24/U24,"-"),"-")</f>
        <v/>
      </c>
      <c r="W24" s="75" t="n">
        <v>6</v>
      </c>
      <c r="X24" s="74" t="n">
        <v>19</v>
      </c>
      <c r="Y24" s="74">
        <f>IFERROR(IF(X24&gt;0,W24/X24,"-"),"-")</f>
        <v/>
      </c>
      <c r="Z24" s="75" t="n">
        <v>12</v>
      </c>
      <c r="AA24" s="74" t="n">
        <v>30</v>
      </c>
      <c r="AB24" s="74">
        <f>IFERROR(IF(AA24&gt;0,Z24/AA24,"-"),"-")</f>
        <v/>
      </c>
      <c r="AC24" s="75" t="n">
        <v>8</v>
      </c>
      <c r="AD24" s="74" t="n">
        <v>20</v>
      </c>
      <c r="AE24" s="74">
        <f>IFERROR(IF(AD24&gt;0,AC24/AD24,"-"),"-")</f>
        <v/>
      </c>
      <c r="AF24" s="75" t="n">
        <v>6</v>
      </c>
      <c r="AG24" s="74" t="n"/>
      <c r="AH24" s="74">
        <f>IFERROR(IF(AG24&gt;0,AF24/AG24,"-"),"-")</f>
        <v/>
      </c>
      <c r="AI24" s="75" t="n">
        <v>3</v>
      </c>
      <c r="AJ24" s="74" t="n">
        <v>12</v>
      </c>
      <c r="AK24" s="74">
        <f>IFERROR(IF(AJ24&gt;0,AI24/AJ24,"-"),"-")</f>
        <v/>
      </c>
      <c r="AL24" s="75" t="n">
        <v>1</v>
      </c>
      <c r="AM24" s="74" t="n">
        <v>5</v>
      </c>
      <c r="AN24" s="74">
        <f>IFERROR(IF(AM24&gt;0,AL24/AM24,"-"),"-")</f>
        <v/>
      </c>
      <c r="AO24" s="75" t="n">
        <v>3</v>
      </c>
      <c r="AP24" s="74" t="n">
        <v>7</v>
      </c>
      <c r="AQ24" s="74">
        <f>IFERROR(IF(AP24&gt;0,AO24/AP24,"-"),"-")</f>
        <v/>
      </c>
      <c r="AR24" s="75" t="n">
        <v>5</v>
      </c>
      <c r="AS24" s="60" t="n"/>
      <c r="AT24" s="60" t="n"/>
    </row>
    <row r="25" ht="15" customHeight="1">
      <c r="A25" s="70" t="n">
        <v>18</v>
      </c>
      <c r="B25" s="71" t="inlineStr">
        <is>
          <t>Bel Collections</t>
        </is>
      </c>
      <c r="C25" s="70" t="inlineStr">
        <is>
          <t>B00017</t>
        </is>
      </c>
      <c r="D25" s="71" t="inlineStr">
        <is>
          <t>Thekrayat</t>
        </is>
      </c>
      <c r="E25" s="70" t="n">
        <v>4</v>
      </c>
      <c r="F25" s="72">
        <f>SUM(I25:AP25)</f>
        <v/>
      </c>
      <c r="G25" s="72">
        <f>SUM(J25:AQ25)</f>
        <v/>
      </c>
      <c r="H25" s="73">
        <f>IFERROR(IF(G25&gt;0,F25/G25,"-"),"-")</f>
        <v/>
      </c>
      <c r="I25" s="74" t="n"/>
      <c r="J25" s="74">
        <f>IFERROR(IF(I25&gt;0,H25/I25,"-"),"-")</f>
        <v/>
      </c>
      <c r="K25" s="75" t="n">
        <v>1</v>
      </c>
      <c r="L25" s="74" t="n">
        <v>8</v>
      </c>
      <c r="M25" s="74">
        <f>IFERROR(IF(L25&gt;0,K25/L25,"-"),"-")</f>
        <v/>
      </c>
      <c r="N25" s="75" t="n">
        <v>4</v>
      </c>
      <c r="O25" s="74" t="n">
        <v>11</v>
      </c>
      <c r="P25" s="74">
        <f>IFERROR(IF(O25&gt;0,N25/O25,"-"),"-")</f>
        <v/>
      </c>
      <c r="Q25" s="75" t="n">
        <v>1</v>
      </c>
      <c r="R25" s="74" t="n"/>
      <c r="S25" s="74">
        <f>IFERROR(IF(R25&gt;0,Q25/R25,"-"),"-")</f>
        <v/>
      </c>
      <c r="T25" s="75" t="n">
        <v>2</v>
      </c>
      <c r="U25" s="74" t="n">
        <v>3</v>
      </c>
      <c r="V25" s="74">
        <f>IFERROR(IF(U25&gt;0,T25/U25,"-"),"-")</f>
        <v/>
      </c>
      <c r="W25" s="75" t="n">
        <v>6</v>
      </c>
      <c r="X25" s="74" t="n">
        <v>5</v>
      </c>
      <c r="Y25" s="74">
        <f>IFERROR(IF(X25&gt;0,W25/X25,"-"),"-")</f>
        <v/>
      </c>
      <c r="Z25" s="75" t="n">
        <v>9</v>
      </c>
      <c r="AA25" s="74" t="n">
        <v>11</v>
      </c>
      <c r="AB25" s="74">
        <f>IFERROR(IF(AA25&gt;0,Z25/AA25,"-"),"-")</f>
        <v/>
      </c>
      <c r="AC25" s="75" t="n">
        <v>4</v>
      </c>
      <c r="AD25" s="74" t="n"/>
      <c r="AE25" s="74">
        <f>IFERROR(IF(AD25&gt;0,AC25/AD25,"-"),"-")</f>
        <v/>
      </c>
      <c r="AF25" s="75" t="n">
        <v>4</v>
      </c>
      <c r="AG25" s="74" t="n"/>
      <c r="AH25" s="74">
        <f>IFERROR(IF(AG25&gt;0,AF25/AG25,"-"),"-")</f>
        <v/>
      </c>
      <c r="AI25" s="75" t="n">
        <v>3</v>
      </c>
      <c r="AJ25" s="74" t="n">
        <v>11</v>
      </c>
      <c r="AK25" s="74">
        <f>IFERROR(IF(AJ25&gt;0,AI25/AJ25,"-"),"-")</f>
        <v/>
      </c>
      <c r="AL25" s="75" t="n">
        <v>1</v>
      </c>
      <c r="AM25" s="74" t="n"/>
      <c r="AN25" s="74">
        <f>IFERROR(IF(AM25&gt;0,AL25/AM25,"-"),"-")</f>
        <v/>
      </c>
      <c r="AO25" s="75" t="n">
        <v>3</v>
      </c>
      <c r="AP25" s="74" t="n">
        <v>17</v>
      </c>
      <c r="AQ25" s="74">
        <f>IFERROR(IF(AP25&gt;0,AO25/AP25,"-"),"-")</f>
        <v/>
      </c>
      <c r="AR25" s="75" t="n">
        <v>3</v>
      </c>
      <c r="AS25" s="60" t="n"/>
      <c r="AT25" s="60" t="n"/>
    </row>
    <row r="26" ht="15" customHeight="1">
      <c r="A26" s="70" t="n">
        <v>19</v>
      </c>
      <c r="B26" s="71" t="inlineStr">
        <is>
          <t>Bel Collections</t>
        </is>
      </c>
      <c r="C26" s="70" t="inlineStr">
        <is>
          <t>B00018</t>
        </is>
      </c>
      <c r="D26" s="71" t="inlineStr">
        <is>
          <t>Hidden Tobacco</t>
        </is>
      </c>
      <c r="E26" s="70" t="n">
        <v>8</v>
      </c>
      <c r="F26" s="72">
        <f>SUM(I26:AP26)</f>
        <v/>
      </c>
      <c r="G26" s="72">
        <f>SUM(J26:AQ26)</f>
        <v/>
      </c>
      <c r="H26" s="73">
        <f>IFERROR(IF(G26&gt;0,F26/G26,"-"),"-")</f>
        <v/>
      </c>
      <c r="I26" s="74" t="n"/>
      <c r="J26" s="74">
        <f>IFERROR(IF(I26&gt;0,H26/I26,"-"),"-")</f>
        <v/>
      </c>
      <c r="K26" s="75" t="n">
        <v>10</v>
      </c>
      <c r="L26" s="74" t="n">
        <v>64</v>
      </c>
      <c r="M26" s="74">
        <f>IFERROR(IF(L26&gt;0,K26/L26,"-"),"-")</f>
        <v/>
      </c>
      <c r="N26" s="75" t="n">
        <v>9</v>
      </c>
      <c r="O26" s="74" t="n">
        <v>39</v>
      </c>
      <c r="P26" s="74">
        <f>IFERROR(IF(O26&gt;0,N26/O26,"-"),"-")</f>
        <v/>
      </c>
      <c r="Q26" s="75" t="n">
        <v>10</v>
      </c>
      <c r="R26" s="74" t="n"/>
      <c r="S26" s="74">
        <f>IFERROR(IF(R26&gt;0,Q26/R26,"-"),"-")</f>
        <v/>
      </c>
      <c r="T26" s="75" t="n">
        <v>8</v>
      </c>
      <c r="U26" s="74" t="n">
        <v>15</v>
      </c>
      <c r="V26" s="74">
        <f>IFERROR(IF(U26&gt;0,T26/U26,"-"),"-")</f>
        <v/>
      </c>
      <c r="W26" s="75" t="n">
        <v>11</v>
      </c>
      <c r="X26" s="74" t="n">
        <v>29</v>
      </c>
      <c r="Y26" s="74">
        <f>IFERROR(IF(X26&gt;0,W26/X26,"-"),"-")</f>
        <v/>
      </c>
      <c r="Z26" s="75" t="n">
        <v>15</v>
      </c>
      <c r="AA26" s="74" t="n">
        <v>54</v>
      </c>
      <c r="AB26" s="74">
        <f>IFERROR(IF(AA26&gt;0,Z26/AA26,"-"),"-")</f>
        <v/>
      </c>
      <c r="AC26" s="75" t="n">
        <v>12</v>
      </c>
      <c r="AD26" s="74" t="n"/>
      <c r="AE26" s="74">
        <f>IFERROR(IF(AD26&gt;0,AC26/AD26,"-"),"-")</f>
        <v/>
      </c>
      <c r="AF26" s="75" t="n">
        <v>8</v>
      </c>
      <c r="AG26" s="74" t="n"/>
      <c r="AH26" s="74">
        <f>IFERROR(IF(AG26&gt;0,AF26/AG26,"-"),"-")</f>
        <v/>
      </c>
      <c r="AI26" s="75" t="n">
        <v>7</v>
      </c>
      <c r="AJ26" s="74" t="n">
        <v>52</v>
      </c>
      <c r="AK26" s="74">
        <f>IFERROR(IF(AJ26&gt;0,AI26/AJ26,"-"),"-")</f>
        <v/>
      </c>
      <c r="AL26" s="75" t="n">
        <v>4</v>
      </c>
      <c r="AM26" s="74" t="n"/>
      <c r="AN26" s="74">
        <f>IFERROR(IF(AM26&gt;0,AL26/AM26,"-"),"-")</f>
        <v/>
      </c>
      <c r="AO26" s="75" t="n">
        <v>5</v>
      </c>
      <c r="AP26" s="74" t="n">
        <v>87</v>
      </c>
      <c r="AQ26" s="74">
        <f>IFERROR(IF(AP26&gt;0,AO26/AP26,"-"),"-")</f>
        <v/>
      </c>
      <c r="AR26" s="75" t="n">
        <v>7</v>
      </c>
      <c r="AS26" s="60" t="n"/>
      <c r="AT26" s="60" t="n"/>
    </row>
    <row r="27" ht="15" customHeight="1">
      <c r="A27" s="70" t="n">
        <v>20</v>
      </c>
      <c r="B27" s="71" t="inlineStr">
        <is>
          <t>Bel Collections</t>
        </is>
      </c>
      <c r="C27" s="70" t="inlineStr">
        <is>
          <t>B00019</t>
        </is>
      </c>
      <c r="D27" s="71" t="inlineStr">
        <is>
          <t>Masters Perfume 100ml</t>
        </is>
      </c>
      <c r="E27" s="70" t="n"/>
      <c r="F27" s="72">
        <f>SUM(I27:AP27)</f>
        <v/>
      </c>
      <c r="G27" s="72">
        <f>SUM(J27:AQ27)</f>
        <v/>
      </c>
      <c r="H27" s="73">
        <f>IFERROR(IF(G27&gt;0,F27/G27,"-"),"-")</f>
        <v/>
      </c>
      <c r="I27" s="74" t="n"/>
      <c r="J27" s="74">
        <f>IFERROR(IF(I27&gt;0,H27/I27,"-"),"-")</f>
        <v/>
      </c>
      <c r="K27" s="75" t="n"/>
      <c r="L27" s="74" t="n"/>
      <c r="M27" s="74">
        <f>IFERROR(IF(L27&gt;0,K27/L27,"-"),"-")</f>
        <v/>
      </c>
      <c r="N27" s="75" t="n"/>
      <c r="O27" s="74" t="n"/>
      <c r="P27" s="74">
        <f>IFERROR(IF(O27&gt;0,N27/O27,"-"),"-")</f>
        <v/>
      </c>
      <c r="Q27" s="75" t="n"/>
      <c r="R27" s="74" t="n"/>
      <c r="S27" s="74">
        <f>IFERROR(IF(R27&gt;0,Q27/R27,"-"),"-")</f>
        <v/>
      </c>
      <c r="T27" s="75" t="n"/>
      <c r="U27" s="74" t="n"/>
      <c r="V27" s="74">
        <f>IFERROR(IF(U27&gt;0,T27/U27,"-"),"-")</f>
        <v/>
      </c>
      <c r="W27" s="75" t="n">
        <v>1</v>
      </c>
      <c r="X27" s="74" t="n"/>
      <c r="Y27" s="74">
        <f>IFERROR(IF(X27&gt;0,W27/X27,"-"),"-")</f>
        <v/>
      </c>
      <c r="Z27" s="75" t="n"/>
      <c r="AA27" s="74" t="n"/>
      <c r="AB27" s="74">
        <f>IFERROR(IF(AA27&gt;0,Z27/AA27,"-"),"-")</f>
        <v/>
      </c>
      <c r="AC27" s="75" t="n"/>
      <c r="AD27" s="74" t="n"/>
      <c r="AE27" s="74">
        <f>IFERROR(IF(AD27&gt;0,AC27/AD27,"-"),"-")</f>
        <v/>
      </c>
      <c r="AF27" s="75" t="n">
        <v>1</v>
      </c>
      <c r="AG27" s="74" t="n"/>
      <c r="AH27" s="74">
        <f>IFERROR(IF(AG27&gt;0,AF27/AG27,"-"),"-")</f>
        <v/>
      </c>
      <c r="AI27" s="75" t="n"/>
      <c r="AJ27" s="74" t="n"/>
      <c r="AK27" s="74">
        <f>IFERROR(IF(AJ27&gt;0,AI27/AJ27,"-"),"-")</f>
        <v/>
      </c>
      <c r="AL27" s="75" t="n"/>
      <c r="AM27" s="74" t="n"/>
      <c r="AN27" s="74">
        <f>IFERROR(IF(AM27&gt;0,AL27/AM27,"-"),"-")</f>
        <v/>
      </c>
      <c r="AO27" s="75" t="n"/>
      <c r="AP27" s="74" t="n"/>
      <c r="AQ27" s="74">
        <f>IFERROR(IF(AP27&gt;0,AO27/AP27,"-"),"-")</f>
        <v/>
      </c>
      <c r="AR27" s="75" t="n"/>
      <c r="AS27" s="60" t="n"/>
      <c r="AT27" s="60" t="n"/>
    </row>
    <row r="28" ht="15" customHeight="1">
      <c r="A28" s="70" t="n">
        <v>21</v>
      </c>
      <c r="B28" s="71" t="inlineStr">
        <is>
          <t>Bel Collections</t>
        </is>
      </c>
      <c r="C28" s="70" t="inlineStr">
        <is>
          <t>B00020</t>
        </is>
      </c>
      <c r="D28" s="71" t="inlineStr">
        <is>
          <t>Masters Signature 100ml Perfume - Tester</t>
        </is>
      </c>
      <c r="E28" s="70" t="n"/>
      <c r="F28" s="72">
        <f>SUM(I28:AP28)</f>
        <v/>
      </c>
      <c r="G28" s="72">
        <f>SUM(J28:AQ28)</f>
        <v/>
      </c>
      <c r="H28" s="73">
        <f>IFERROR(IF(G28&gt;0,F28/G28,"-"),"-")</f>
        <v/>
      </c>
      <c r="I28" s="74" t="n"/>
      <c r="J28" s="74">
        <f>IFERROR(IF(I28&gt;0,H28/I28,"-"),"-")</f>
        <v/>
      </c>
      <c r="K28" s="75" t="n"/>
      <c r="L28" s="74" t="n"/>
      <c r="M28" s="74">
        <f>IFERROR(IF(L28&gt;0,K28/L28,"-"),"-")</f>
        <v/>
      </c>
      <c r="N28" s="75" t="n"/>
      <c r="O28" s="74" t="n"/>
      <c r="P28" s="74">
        <f>IFERROR(IF(O28&gt;0,N28/O28,"-"),"-")</f>
        <v/>
      </c>
      <c r="Q28" s="75" t="n"/>
      <c r="R28" s="74" t="n"/>
      <c r="S28" s="74">
        <f>IFERROR(IF(R28&gt;0,Q28/R28,"-"),"-")</f>
        <v/>
      </c>
      <c r="T28" s="75" t="n"/>
      <c r="U28" s="74" t="n"/>
      <c r="V28" s="74">
        <f>IFERROR(IF(U28&gt;0,T28/U28,"-"),"-")</f>
        <v/>
      </c>
      <c r="W28" s="75" t="n"/>
      <c r="X28" s="74" t="n"/>
      <c r="Y28" s="74">
        <f>IFERROR(IF(X28&gt;0,W28/X28,"-"),"-")</f>
        <v/>
      </c>
      <c r="Z28" s="75" t="n"/>
      <c r="AA28" s="74" t="n"/>
      <c r="AB28" s="74">
        <f>IFERROR(IF(AA28&gt;0,Z28/AA28,"-"),"-")</f>
        <v/>
      </c>
      <c r="AC28" s="75" t="n"/>
      <c r="AD28" s="74" t="n"/>
      <c r="AE28" s="74">
        <f>IFERROR(IF(AD28&gt;0,AC28/AD28,"-"),"-")</f>
        <v/>
      </c>
      <c r="AF28" s="75" t="n">
        <v>1</v>
      </c>
      <c r="AG28" s="74" t="n"/>
      <c r="AH28" s="74">
        <f>IFERROR(IF(AG28&gt;0,AF28/AG28,"-"),"-")</f>
        <v/>
      </c>
      <c r="AI28" s="75" t="n"/>
      <c r="AJ28" s="74" t="n"/>
      <c r="AK28" s="74">
        <f>IFERROR(IF(AJ28&gt;0,AI28/AJ28,"-"),"-")</f>
        <v/>
      </c>
      <c r="AL28" s="75" t="n"/>
      <c r="AM28" s="74" t="n"/>
      <c r="AN28" s="74">
        <f>IFERROR(IF(AM28&gt;0,AL28/AM28,"-"),"-")</f>
        <v/>
      </c>
      <c r="AO28" s="75" t="n"/>
      <c r="AP28" s="74" t="n"/>
      <c r="AQ28" s="74">
        <f>IFERROR(IF(AP28&gt;0,AO28/AP28,"-"),"-")</f>
        <v/>
      </c>
      <c r="AR28" s="75" t="n"/>
      <c r="AS28" s="60" t="n"/>
      <c r="AT28" s="60" t="n"/>
    </row>
    <row r="29" ht="15" customHeight="1">
      <c r="A29" s="70" t="n">
        <v>22</v>
      </c>
      <c r="B29" s="71" t="inlineStr">
        <is>
          <t>Bel Collections</t>
        </is>
      </c>
      <c r="C29" s="70" t="inlineStr">
        <is>
          <t>B00021</t>
        </is>
      </c>
      <c r="D29" s="71" t="inlineStr">
        <is>
          <t>Midnight Bloom 100 ML</t>
        </is>
      </c>
      <c r="E29" s="70" t="n"/>
      <c r="F29" s="72">
        <f>SUM(I29:AP29)</f>
        <v/>
      </c>
      <c r="G29" s="72">
        <f>SUM(J29:AQ29)</f>
        <v/>
      </c>
      <c r="H29" s="73">
        <f>IFERROR(IF(G29&gt;0,F29/G29,"-"),"-")</f>
        <v/>
      </c>
      <c r="I29" s="74" t="n">
        <v>16</v>
      </c>
      <c r="J29" s="74">
        <f>IFERROR(IF(I29&gt;0,H29/I29,"-"),"-")</f>
        <v/>
      </c>
      <c r="K29" s="75" t="n"/>
      <c r="L29" s="74" t="n">
        <v>55</v>
      </c>
      <c r="M29" s="74">
        <f>IFERROR(IF(L29&gt;0,K29/L29,"-"),"-")</f>
        <v/>
      </c>
      <c r="N29" s="75" t="n"/>
      <c r="O29" s="74" t="n">
        <v>15</v>
      </c>
      <c r="P29" s="74">
        <f>IFERROR(IF(O29&gt;0,N29/O29,"-"),"-")</f>
        <v/>
      </c>
      <c r="Q29" s="75" t="n"/>
      <c r="R29" s="74" t="n">
        <v>22</v>
      </c>
      <c r="S29" s="74">
        <f>IFERROR(IF(R29&gt;0,Q29/R29,"-"),"-")</f>
        <v/>
      </c>
      <c r="T29" s="75" t="n"/>
      <c r="U29" s="74" t="n">
        <v>27</v>
      </c>
      <c r="V29" s="74">
        <f>IFERROR(IF(U29&gt;0,T29/U29,"-"),"-")</f>
        <v/>
      </c>
      <c r="W29" s="75" t="n"/>
      <c r="X29" s="74" t="n">
        <v>10</v>
      </c>
      <c r="Y29" s="74">
        <f>IFERROR(IF(X29&gt;0,W29/X29,"-"),"-")</f>
        <v/>
      </c>
      <c r="Z29" s="75" t="n"/>
      <c r="AA29" s="74" t="n">
        <v>31</v>
      </c>
      <c r="AB29" s="74">
        <f>IFERROR(IF(AA29&gt;0,Z29/AA29,"-"),"-")</f>
        <v/>
      </c>
      <c r="AC29" s="75" t="n"/>
      <c r="AD29" s="74" t="n">
        <v>23</v>
      </c>
      <c r="AE29" s="74">
        <f>IFERROR(IF(AD29&gt;0,AC29/AD29,"-"),"-")</f>
        <v/>
      </c>
      <c r="AF29" s="75" t="n">
        <v>1</v>
      </c>
      <c r="AG29" s="74" t="n"/>
      <c r="AH29" s="74">
        <f>IFERROR(IF(AG29&gt;0,AF29/AG29,"-"),"-")</f>
        <v/>
      </c>
      <c r="AI29" s="75" t="n"/>
      <c r="AJ29" s="74" t="n">
        <v>38</v>
      </c>
      <c r="AK29" s="74">
        <f>IFERROR(IF(AJ29&gt;0,AI29/AJ29,"-"),"-")</f>
        <v/>
      </c>
      <c r="AL29" s="75" t="n"/>
      <c r="AM29" s="74" t="n">
        <v>14</v>
      </c>
      <c r="AN29" s="74">
        <f>IFERROR(IF(AM29&gt;0,AL29/AM29,"-"),"-")</f>
        <v/>
      </c>
      <c r="AO29" s="75" t="n"/>
      <c r="AP29" s="74" t="n">
        <v>28</v>
      </c>
      <c r="AQ29" s="74">
        <f>IFERROR(IF(AP29&gt;0,AO29/AP29,"-"),"-")</f>
        <v/>
      </c>
      <c r="AR29" s="75" t="n"/>
      <c r="AS29" s="60" t="n"/>
      <c r="AT29" s="60" t="n"/>
    </row>
    <row r="30" ht="15" customHeight="1">
      <c r="A30" s="76" t="inlineStr">
        <is>
          <t xml:space="preserve">  CABALLO COLLECTION</t>
        </is>
      </c>
      <c r="B30" s="77" t="n"/>
      <c r="C30" s="77" t="n"/>
      <c r="D30" s="77" t="n"/>
      <c r="E30" s="77" t="n">
        <v>3</v>
      </c>
      <c r="F30" s="72">
        <f>SUM(I30:AP30)</f>
        <v/>
      </c>
      <c r="G30" s="72">
        <f>SUM(J30:AQ30)</f>
        <v/>
      </c>
      <c r="H30" s="73">
        <f>IFERROR(IF(G30&gt;0,F30/G30,"-"),"-")</f>
        <v/>
      </c>
      <c r="I30" s="74" t="n">
        <v>11</v>
      </c>
      <c r="J30" s="74">
        <f>IFERROR(IF(I30&gt;0,H30/I30,"-"),"-")</f>
        <v/>
      </c>
      <c r="K30" s="75" t="n">
        <v>3</v>
      </c>
      <c r="L30" s="74" t="n">
        <v>27</v>
      </c>
      <c r="M30" s="74">
        <f>IFERROR(IF(L30&gt;0,K30/L30,"-"),"-")</f>
        <v/>
      </c>
      <c r="N30" s="75" t="n">
        <v>3</v>
      </c>
      <c r="O30" s="74" t="n">
        <v>4</v>
      </c>
      <c r="P30" s="74">
        <f>IFERROR(IF(O30&gt;0,N30/O30,"-"),"-")</f>
        <v/>
      </c>
      <c r="Q30" s="75" t="n">
        <v>1</v>
      </c>
      <c r="R30" s="74" t="n">
        <v>11</v>
      </c>
      <c r="S30" s="74">
        <f>IFERROR(IF(R30&gt;0,Q30/R30,"-"),"-")</f>
        <v/>
      </c>
      <c r="T30" s="75" t="n"/>
      <c r="U30" s="74" t="n">
        <v>17</v>
      </c>
      <c r="V30" s="74">
        <f>IFERROR(IF(U30&gt;0,T30/U30,"-"),"-")</f>
        <v/>
      </c>
      <c r="W30" s="75" t="n">
        <v>1</v>
      </c>
      <c r="X30" s="74" t="n">
        <v>9</v>
      </c>
      <c r="Y30" s="74">
        <f>IFERROR(IF(X30&gt;0,W30/X30,"-"),"-")</f>
        <v/>
      </c>
      <c r="Z30" s="75" t="n">
        <v>4</v>
      </c>
      <c r="AA30" s="74" t="n">
        <v>18</v>
      </c>
      <c r="AB30" s="74">
        <f>IFERROR(IF(AA30&gt;0,Z30/AA30,"-"),"-")</f>
        <v/>
      </c>
      <c r="AC30" s="75" t="n">
        <v>3</v>
      </c>
      <c r="AD30" s="74" t="n">
        <v>23</v>
      </c>
      <c r="AE30" s="74">
        <f>IFERROR(IF(AD30&gt;0,AC30/AD30,"-"),"-")</f>
        <v/>
      </c>
      <c r="AF30" s="75" t="n">
        <v>3</v>
      </c>
      <c r="AG30" s="74" t="n"/>
      <c r="AH30" s="74">
        <f>IFERROR(IF(AG30&gt;0,AF30/AG30,"-"),"-")</f>
        <v/>
      </c>
      <c r="AI30" s="75" t="n">
        <v>2</v>
      </c>
      <c r="AJ30" s="74" t="n">
        <v>20</v>
      </c>
      <c r="AK30" s="74">
        <f>IFERROR(IF(AJ30&gt;0,AI30/AJ30,"-"),"-")</f>
        <v/>
      </c>
      <c r="AL30" s="75" t="n">
        <v>1</v>
      </c>
      <c r="AM30" s="74" t="n">
        <v>10</v>
      </c>
      <c r="AN30" s="74">
        <f>IFERROR(IF(AM30&gt;0,AL30/AM30,"-"),"-")</f>
        <v/>
      </c>
      <c r="AO30" s="75" t="n">
        <v>1</v>
      </c>
      <c r="AP30" s="74" t="n">
        <v>8</v>
      </c>
      <c r="AQ30" s="74">
        <f>IFERROR(IF(AP30&gt;0,AO30/AP30,"-"),"-")</f>
        <v/>
      </c>
      <c r="AR30" s="75" t="n">
        <v>1</v>
      </c>
      <c r="AS30" s="59" t="n"/>
      <c r="AT30" s="59" t="n"/>
    </row>
    <row r="31" ht="15" customHeight="1">
      <c r="A31" s="70" t="n">
        <v>23</v>
      </c>
      <c r="B31" s="71" t="inlineStr">
        <is>
          <t>Caballo Collection</t>
        </is>
      </c>
      <c r="C31" s="70" t="inlineStr">
        <is>
          <t>C00004</t>
        </is>
      </c>
      <c r="D31" s="71" t="inlineStr">
        <is>
          <t>Maroon Perfume 100 ML</t>
        </is>
      </c>
      <c r="E31" s="70" t="n">
        <v>2</v>
      </c>
      <c r="F31" s="72">
        <f>SUM(I31:AP31)</f>
        <v/>
      </c>
      <c r="G31" s="72">
        <f>SUM(J31:AQ31)</f>
        <v/>
      </c>
      <c r="H31" s="73">
        <f>IFERROR(IF(G31&gt;0,F31/G31,"-"),"-")</f>
        <v/>
      </c>
      <c r="I31" s="74" t="n"/>
      <c r="J31" s="74">
        <f>IFERROR(IF(I31&gt;0,H31/I31,"-"),"-")</f>
        <v/>
      </c>
      <c r="K31" s="75" t="n">
        <v>2</v>
      </c>
      <c r="L31" s="74" t="n"/>
      <c r="M31" s="74">
        <f>IFERROR(IF(L31&gt;0,K31/L31,"-"),"-")</f>
        <v/>
      </c>
      <c r="N31" s="75" t="n">
        <v>3</v>
      </c>
      <c r="O31" s="74" t="n">
        <v>1</v>
      </c>
      <c r="P31" s="74">
        <f>IFERROR(IF(O31&gt;0,N31/O31,"-"),"-")</f>
        <v/>
      </c>
      <c r="Q31" s="75" t="n"/>
      <c r="R31" s="74" t="n">
        <v>3</v>
      </c>
      <c r="S31" s="74">
        <f>IFERROR(IF(R31&gt;0,Q31/R31,"-"),"-")</f>
        <v/>
      </c>
      <c r="T31" s="75" t="n">
        <v>1</v>
      </c>
      <c r="U31" s="74" t="n">
        <v>4</v>
      </c>
      <c r="V31" s="74">
        <f>IFERROR(IF(U31&gt;0,T31/U31,"-"),"-")</f>
        <v/>
      </c>
      <c r="W31" s="75" t="n">
        <v>1</v>
      </c>
      <c r="X31" s="74" t="n">
        <v>4</v>
      </c>
      <c r="Y31" s="74">
        <f>IFERROR(IF(X31&gt;0,W31/X31,"-"),"-")</f>
        <v/>
      </c>
      <c r="Z31" s="75" t="n">
        <v>1</v>
      </c>
      <c r="AA31" s="74" t="n">
        <v>7</v>
      </c>
      <c r="AB31" s="74">
        <f>IFERROR(IF(AA31&gt;0,Z31/AA31,"-"),"-")</f>
        <v/>
      </c>
      <c r="AC31" s="75" t="n">
        <v>2</v>
      </c>
      <c r="AD31" s="74" t="n">
        <v>6</v>
      </c>
      <c r="AE31" s="74">
        <f>IFERROR(IF(AD31&gt;0,AC31/AD31,"-"),"-")</f>
        <v/>
      </c>
      <c r="AF31" s="75" t="n">
        <v>2</v>
      </c>
      <c r="AG31" s="74" t="n"/>
      <c r="AH31" s="74">
        <f>IFERROR(IF(AG31&gt;0,AF31/AG31,"-"),"-")</f>
        <v/>
      </c>
      <c r="AI31" s="75" t="n">
        <v>1</v>
      </c>
      <c r="AJ31" s="74" t="n">
        <v>3</v>
      </c>
      <c r="AK31" s="74">
        <f>IFERROR(IF(AJ31&gt;0,AI31/AJ31,"-"),"-")</f>
        <v/>
      </c>
      <c r="AL31" s="75" t="n"/>
      <c r="AM31" s="74" t="n">
        <v>3</v>
      </c>
      <c r="AN31" s="74">
        <f>IFERROR(IF(AM31&gt;0,AL31/AM31,"-"),"-")</f>
        <v/>
      </c>
      <c r="AO31" s="75" t="n">
        <v>1</v>
      </c>
      <c r="AP31" s="74" t="n">
        <v>2</v>
      </c>
      <c r="AQ31" s="74">
        <f>IFERROR(IF(AP31&gt;0,AO31/AP31,"-"),"-")</f>
        <v/>
      </c>
      <c r="AR31" s="75" t="n">
        <v>2</v>
      </c>
      <c r="AS31" s="60" t="n"/>
      <c r="AT31" s="60" t="n"/>
    </row>
    <row r="32" ht="15" customHeight="1">
      <c r="A32" s="70" t="n">
        <v>24</v>
      </c>
      <c r="B32" s="71" t="inlineStr">
        <is>
          <t>Caballo Collection</t>
        </is>
      </c>
      <c r="C32" s="70" t="inlineStr">
        <is>
          <t>C00010</t>
        </is>
      </c>
      <c r="D32" s="71" t="inlineStr">
        <is>
          <t>Maroon Intense</t>
        </is>
      </c>
      <c r="E32" s="70" t="n"/>
      <c r="F32" s="72">
        <f>SUM(I32:AP32)</f>
        <v/>
      </c>
      <c r="G32" s="72">
        <f>SUM(J32:AQ32)</f>
        <v/>
      </c>
      <c r="H32" s="73">
        <f>IFERROR(IF(G32&gt;0,F32/G32,"-"),"-")</f>
        <v/>
      </c>
      <c r="I32" s="74" t="n">
        <v>1</v>
      </c>
      <c r="J32" s="74">
        <f>IFERROR(IF(I32&gt;0,H32/I32,"-"),"-")</f>
        <v/>
      </c>
      <c r="K32" s="75" t="n"/>
      <c r="L32" s="74" t="n"/>
      <c r="M32" s="74">
        <f>IFERROR(IF(L32&gt;0,K32/L32,"-"),"-")</f>
        <v/>
      </c>
      <c r="N32" s="75" t="n"/>
      <c r="O32" s="74" t="n"/>
      <c r="P32" s="74">
        <f>IFERROR(IF(O32&gt;0,N32/O32,"-"),"-")</f>
        <v/>
      </c>
      <c r="Q32" s="75" t="n"/>
      <c r="R32" s="74" t="n">
        <v>3</v>
      </c>
      <c r="S32" s="74">
        <f>IFERROR(IF(R32&gt;0,Q32/R32,"-"),"-")</f>
        <v/>
      </c>
      <c r="T32" s="75" t="n"/>
      <c r="U32" s="74" t="n">
        <v>1</v>
      </c>
      <c r="V32" s="74">
        <f>IFERROR(IF(U32&gt;0,T32/U32,"-"),"-")</f>
        <v/>
      </c>
      <c r="W32" s="75" t="n"/>
      <c r="X32" s="74" t="n">
        <v>1</v>
      </c>
      <c r="Y32" s="74">
        <f>IFERROR(IF(X32&gt;0,W32/X32,"-"),"-")</f>
        <v/>
      </c>
      <c r="Z32" s="75" t="n"/>
      <c r="AA32" s="74" t="n"/>
      <c r="AB32" s="74">
        <f>IFERROR(IF(AA32&gt;0,Z32/AA32,"-"),"-")</f>
        <v/>
      </c>
      <c r="AC32" s="75" t="n"/>
      <c r="AD32" s="74" t="n">
        <v>1</v>
      </c>
      <c r="AE32" s="74">
        <f>IFERROR(IF(AD32&gt;0,AC32/AD32,"-"),"-")</f>
        <v/>
      </c>
      <c r="AF32" s="75" t="n">
        <v>1</v>
      </c>
      <c r="AG32" s="74" t="n"/>
      <c r="AH32" s="74">
        <f>IFERROR(IF(AG32&gt;0,AF32/AG32,"-"),"-")</f>
        <v/>
      </c>
      <c r="AI32" s="75" t="n"/>
      <c r="AJ32" s="74" t="n"/>
      <c r="AK32" s="74">
        <f>IFERROR(IF(AJ32&gt;0,AI32/AJ32,"-"),"-")</f>
        <v/>
      </c>
      <c r="AL32" s="75" t="n"/>
      <c r="AM32" s="74" t="n">
        <v>3</v>
      </c>
      <c r="AN32" s="74">
        <f>IFERROR(IF(AM32&gt;0,AL32/AM32,"-"),"-")</f>
        <v/>
      </c>
      <c r="AO32" s="75" t="n"/>
      <c r="AP32" s="74" t="n">
        <v>2</v>
      </c>
      <c r="AQ32" s="74">
        <f>IFERROR(IF(AP32&gt;0,AO32/AP32,"-"),"-")</f>
        <v/>
      </c>
      <c r="AR32" s="75" t="n"/>
      <c r="AS32" s="60" t="n"/>
      <c r="AT32" s="60" t="n"/>
    </row>
    <row r="33" ht="15" customHeight="1">
      <c r="A33" s="70" t="n">
        <v>25</v>
      </c>
      <c r="B33" s="71" t="inlineStr">
        <is>
          <t>Caballo Collection</t>
        </is>
      </c>
      <c r="C33" s="70" t="inlineStr">
        <is>
          <t>C00012</t>
        </is>
      </c>
      <c r="D33" s="71" t="inlineStr">
        <is>
          <t>Navy Perfume 100ml</t>
        </is>
      </c>
      <c r="E33" s="70" t="n">
        <v>1</v>
      </c>
      <c r="F33" s="72">
        <f>SUM(I33:AP33)</f>
        <v/>
      </c>
      <c r="G33" s="72">
        <f>SUM(J33:AQ33)</f>
        <v/>
      </c>
      <c r="H33" s="73">
        <f>IFERROR(IF(G33&gt;0,F33/G33,"-"),"-")</f>
        <v/>
      </c>
      <c r="I33" s="74" t="n"/>
      <c r="J33" s="74">
        <f>IFERROR(IF(I33&gt;0,H33/I33,"-"),"-")</f>
        <v/>
      </c>
      <c r="K33" s="75" t="n"/>
      <c r="L33" s="74" t="n"/>
      <c r="M33" s="74">
        <f>IFERROR(IF(L33&gt;0,K33/L33,"-"),"-")</f>
        <v/>
      </c>
      <c r="N33" s="75" t="n">
        <v>2</v>
      </c>
      <c r="O33" s="74" t="n"/>
      <c r="P33" s="74">
        <f>IFERROR(IF(O33&gt;0,N33/O33,"-"),"-")</f>
        <v/>
      </c>
      <c r="Q33" s="75" t="n"/>
      <c r="R33" s="74" t="n"/>
      <c r="S33" s="74">
        <f>IFERROR(IF(R33&gt;0,Q33/R33,"-"),"-")</f>
        <v/>
      </c>
      <c r="T33" s="75" t="n"/>
      <c r="U33" s="74" t="n"/>
      <c r="V33" s="74">
        <f>IFERROR(IF(U33&gt;0,T33/U33,"-"),"-")</f>
        <v/>
      </c>
      <c r="W33" s="75" t="n">
        <v>1</v>
      </c>
      <c r="X33" s="74" t="n"/>
      <c r="Y33" s="74">
        <f>IFERROR(IF(X33&gt;0,W33/X33,"-"),"-")</f>
        <v/>
      </c>
      <c r="Z33" s="75" t="n">
        <v>1</v>
      </c>
      <c r="AA33" s="74" t="n"/>
      <c r="AB33" s="74">
        <f>IFERROR(IF(AA33&gt;0,Z33/AA33,"-"),"-")</f>
        <v/>
      </c>
      <c r="AC33" s="75" t="n">
        <v>1</v>
      </c>
      <c r="AD33" s="74" t="n"/>
      <c r="AE33" s="74">
        <f>IFERROR(IF(AD33&gt;0,AC33/AD33,"-"),"-")</f>
        <v/>
      </c>
      <c r="AF33" s="75" t="n">
        <v>2</v>
      </c>
      <c r="AG33" s="74" t="n"/>
      <c r="AH33" s="74">
        <f>IFERROR(IF(AG33&gt;0,AF33/AG33,"-"),"-")</f>
        <v/>
      </c>
      <c r="AI33" s="75" t="n">
        <v>2</v>
      </c>
      <c r="AJ33" s="74" t="n"/>
      <c r="AK33" s="74">
        <f>IFERROR(IF(AJ33&gt;0,AI33/AJ33,"-"),"-")</f>
        <v/>
      </c>
      <c r="AL33" s="75" t="n"/>
      <c r="AM33" s="74" t="n"/>
      <c r="AN33" s="74">
        <f>IFERROR(IF(AM33&gt;0,AL33/AM33,"-"),"-")</f>
        <v/>
      </c>
      <c r="AO33" s="75" t="n">
        <v>1</v>
      </c>
      <c r="AP33" s="74" t="n"/>
      <c r="AQ33" s="74">
        <f>IFERROR(IF(AP33&gt;0,AO33/AP33,"-"),"-")</f>
        <v/>
      </c>
      <c r="AR33" s="75" t="n">
        <v>1</v>
      </c>
      <c r="AS33" s="60" t="n"/>
      <c r="AT33" s="60" t="n"/>
    </row>
    <row r="34" ht="15" customHeight="1">
      <c r="A34" s="70" t="n">
        <v>26</v>
      </c>
      <c r="B34" s="71" t="inlineStr">
        <is>
          <t>Caballo Collection</t>
        </is>
      </c>
      <c r="C34" s="70" t="inlineStr">
        <is>
          <t>C00013</t>
        </is>
      </c>
      <c r="D34" s="71" t="inlineStr">
        <is>
          <t>White Overdose Perfume 100ml</t>
        </is>
      </c>
      <c r="E34" s="70" t="n">
        <v>3</v>
      </c>
      <c r="F34" s="72">
        <f>SUM(I34:AP34)</f>
        <v/>
      </c>
      <c r="G34" s="72">
        <f>SUM(J34:AQ34)</f>
        <v/>
      </c>
      <c r="H34" s="73">
        <f>IFERROR(IF(G34&gt;0,F34/G34,"-"),"-")</f>
        <v/>
      </c>
      <c r="I34" s="74" t="n">
        <v>8</v>
      </c>
      <c r="J34" s="74">
        <f>IFERROR(IF(I34&gt;0,H34/I34,"-"),"-")</f>
        <v/>
      </c>
      <c r="K34" s="75" t="n">
        <v>2</v>
      </c>
      <c r="L34" s="74" t="n">
        <v>1</v>
      </c>
      <c r="M34" s="74">
        <f>IFERROR(IF(L34&gt;0,K34/L34,"-"),"-")</f>
        <v/>
      </c>
      <c r="N34" s="75" t="n">
        <v>2</v>
      </c>
      <c r="O34" s="74" t="n">
        <v>4</v>
      </c>
      <c r="P34" s="74">
        <f>IFERROR(IF(O34&gt;0,N34/O34,"-"),"-")</f>
        <v/>
      </c>
      <c r="Q34" s="75" t="n">
        <v>3</v>
      </c>
      <c r="R34" s="74" t="n">
        <v>8</v>
      </c>
      <c r="S34" s="74">
        <f>IFERROR(IF(R34&gt;0,Q34/R34,"-"),"-")</f>
        <v/>
      </c>
      <c r="T34" s="75" t="n">
        <v>4</v>
      </c>
      <c r="U34" s="74" t="n">
        <v>2</v>
      </c>
      <c r="V34" s="74">
        <f>IFERROR(IF(U34&gt;0,T34/U34,"-"),"-")</f>
        <v/>
      </c>
      <c r="W34" s="75" t="n">
        <v>4</v>
      </c>
      <c r="X34" s="74" t="n">
        <v>1</v>
      </c>
      <c r="Y34" s="74">
        <f>IFERROR(IF(X34&gt;0,W34/X34,"-"),"-")</f>
        <v/>
      </c>
      <c r="Z34" s="75" t="n">
        <v>2</v>
      </c>
      <c r="AA34" s="74" t="n">
        <v>16</v>
      </c>
      <c r="AB34" s="74">
        <f>IFERROR(IF(AA34&gt;0,Z34/AA34,"-"),"-")</f>
        <v/>
      </c>
      <c r="AC34" s="75" t="n">
        <v>2</v>
      </c>
      <c r="AD34" s="74" t="n">
        <v>15</v>
      </c>
      <c r="AE34" s="74">
        <f>IFERROR(IF(AD34&gt;0,AC34/AD34,"-"),"-")</f>
        <v/>
      </c>
      <c r="AF34" s="75" t="n">
        <v>3</v>
      </c>
      <c r="AG34" s="74" t="n"/>
      <c r="AH34" s="74">
        <f>IFERROR(IF(AG34&gt;0,AF34/AG34,"-"),"-")</f>
        <v/>
      </c>
      <c r="AI34" s="75" t="n">
        <v>4</v>
      </c>
      <c r="AJ34" s="74" t="n">
        <v>11</v>
      </c>
      <c r="AK34" s="74">
        <f>IFERROR(IF(AJ34&gt;0,AI34/AJ34,"-"),"-")</f>
        <v/>
      </c>
      <c r="AL34" s="75" t="n">
        <v>1</v>
      </c>
      <c r="AM34" s="74" t="n">
        <v>6</v>
      </c>
      <c r="AN34" s="74">
        <f>IFERROR(IF(AM34&gt;0,AL34/AM34,"-"),"-")</f>
        <v/>
      </c>
      <c r="AO34" s="75" t="n">
        <v>2</v>
      </c>
      <c r="AP34" s="74" t="n">
        <v>1</v>
      </c>
      <c r="AQ34" s="74">
        <f>IFERROR(IF(AP34&gt;0,AO34/AP34,"-"),"-")</f>
        <v/>
      </c>
      <c r="AR34" s="75" t="n">
        <v>1</v>
      </c>
      <c r="AS34" s="60" t="n"/>
      <c r="AT34" s="60" t="n"/>
    </row>
    <row r="35" ht="15" customHeight="1">
      <c r="A35" s="70" t="n">
        <v>27</v>
      </c>
      <c r="B35" s="71" t="inlineStr">
        <is>
          <t>Caballo Collection</t>
        </is>
      </c>
      <c r="C35" s="70" t="inlineStr">
        <is>
          <t>C00014</t>
        </is>
      </c>
      <c r="D35" s="71" t="inlineStr">
        <is>
          <t>Black Perfume 100ml</t>
        </is>
      </c>
      <c r="E35" s="70" t="n"/>
      <c r="F35" s="72">
        <f>SUM(I35:AP35)</f>
        <v/>
      </c>
      <c r="G35" s="72">
        <f>SUM(J35:AQ35)</f>
        <v/>
      </c>
      <c r="H35" s="73">
        <f>IFERROR(IF(G35&gt;0,F35/G35,"-"),"-")</f>
        <v/>
      </c>
      <c r="I35" s="74" t="n"/>
      <c r="J35" s="74">
        <f>IFERROR(IF(I35&gt;0,H35/I35,"-"),"-")</f>
        <v/>
      </c>
      <c r="K35" s="75" t="n">
        <v>1</v>
      </c>
      <c r="L35" s="74" t="n"/>
      <c r="M35" s="74">
        <f>IFERROR(IF(L35&gt;0,K35/L35,"-"),"-")</f>
        <v/>
      </c>
      <c r="N35" s="75" t="n">
        <v>3</v>
      </c>
      <c r="O35" s="74" t="n"/>
      <c r="P35" s="74">
        <f>IFERROR(IF(O35&gt;0,N35/O35,"-"),"-")</f>
        <v/>
      </c>
      <c r="Q35" s="75" t="n"/>
      <c r="R35" s="74" t="n"/>
      <c r="S35" s="74">
        <f>IFERROR(IF(R35&gt;0,Q35/R35,"-"),"-")</f>
        <v/>
      </c>
      <c r="T35" s="75" t="n">
        <v>2</v>
      </c>
      <c r="U35" s="74" t="n">
        <v>1</v>
      </c>
      <c r="V35" s="74">
        <f>IFERROR(IF(U35&gt;0,T35/U35,"-"),"-")</f>
        <v/>
      </c>
      <c r="W35" s="75" t="n">
        <v>1</v>
      </c>
      <c r="X35" s="74" t="n">
        <v>1</v>
      </c>
      <c r="Y35" s="74">
        <f>IFERROR(IF(X35&gt;0,W35/X35,"-"),"-")</f>
        <v/>
      </c>
      <c r="Z35" s="75" t="n"/>
      <c r="AA35" s="74" t="n"/>
      <c r="AB35" s="74">
        <f>IFERROR(IF(AA35&gt;0,Z35/AA35,"-"),"-")</f>
        <v/>
      </c>
      <c r="AC35" s="75" t="n"/>
      <c r="AD35" s="74" t="n"/>
      <c r="AE35" s="74">
        <f>IFERROR(IF(AD35&gt;0,AC35/AD35,"-"),"-")</f>
        <v/>
      </c>
      <c r="AF35" s="75" t="n"/>
      <c r="AG35" s="74" t="n"/>
      <c r="AH35" s="74">
        <f>IFERROR(IF(AG35&gt;0,AF35/AG35,"-"),"-")</f>
        <v/>
      </c>
      <c r="AI35" s="75" t="n"/>
      <c r="AJ35" s="74" t="n">
        <v>4</v>
      </c>
      <c r="AK35" s="74">
        <f>IFERROR(IF(AJ35&gt;0,AI35/AJ35,"-"),"-")</f>
        <v/>
      </c>
      <c r="AL35" s="75" t="n"/>
      <c r="AM35" s="74" t="n"/>
      <c r="AN35" s="74">
        <f>IFERROR(IF(AM35&gt;0,AL35/AM35,"-"),"-")</f>
        <v/>
      </c>
      <c r="AO35" s="75" t="n">
        <v>1</v>
      </c>
      <c r="AP35" s="74" t="n">
        <v>1</v>
      </c>
      <c r="AQ35" s="74">
        <f>IFERROR(IF(AP35&gt;0,AO35/AP35,"-"),"-")</f>
        <v/>
      </c>
      <c r="AR35" s="75" t="n"/>
      <c r="AS35" s="60" t="n"/>
      <c r="AT35" s="60" t="n"/>
    </row>
    <row r="36" ht="15" customHeight="1">
      <c r="A36" s="76" t="inlineStr">
        <is>
          <t xml:space="preserve">  DAKHOON COLLECTION</t>
        </is>
      </c>
      <c r="B36" s="77" t="n"/>
      <c r="C36" s="77" t="n"/>
      <c r="D36" s="77" t="n"/>
      <c r="E36" s="77" t="n">
        <v>2</v>
      </c>
      <c r="F36" s="72">
        <f>SUM(I36:AP36)</f>
        <v/>
      </c>
      <c r="G36" s="72">
        <f>SUM(J36:AQ36)</f>
        <v/>
      </c>
      <c r="H36" s="73">
        <f>IFERROR(IF(G36&gt;0,F36/G36,"-"),"-")</f>
        <v/>
      </c>
      <c r="I36" s="74" t="n">
        <v>12</v>
      </c>
      <c r="J36" s="74">
        <f>IFERROR(IF(I36&gt;0,H36/I36,"-"),"-")</f>
        <v/>
      </c>
      <c r="K36" s="75" t="n">
        <v>3</v>
      </c>
      <c r="L36" s="74" t="n">
        <v>27</v>
      </c>
      <c r="M36" s="74">
        <f>IFERROR(IF(L36&gt;0,K36/L36,"-"),"-")</f>
        <v/>
      </c>
      <c r="N36" s="75" t="n">
        <v>2</v>
      </c>
      <c r="O36" s="74" t="n">
        <v>4</v>
      </c>
      <c r="P36" s="74">
        <f>IFERROR(IF(O36&gt;0,N36/O36,"-"),"-")</f>
        <v/>
      </c>
      <c r="Q36" s="75" t="n"/>
      <c r="R36" s="74" t="n">
        <v>17</v>
      </c>
      <c r="S36" s="74">
        <f>IFERROR(IF(R36&gt;0,Q36/R36,"-"),"-")</f>
        <v/>
      </c>
      <c r="T36" s="75" t="n">
        <v>5</v>
      </c>
      <c r="U36" s="74" t="n">
        <v>30</v>
      </c>
      <c r="V36" s="74">
        <f>IFERROR(IF(U36&gt;0,T36/U36,"-"),"-")</f>
        <v/>
      </c>
      <c r="W36" s="75" t="n"/>
      <c r="X36" s="74" t="n">
        <v>16</v>
      </c>
      <c r="Y36" s="74">
        <f>IFERROR(IF(X36&gt;0,W36/X36,"-"),"-")</f>
        <v/>
      </c>
      <c r="Z36" s="75" t="n">
        <v>2</v>
      </c>
      <c r="AA36" s="74" t="n">
        <v>29</v>
      </c>
      <c r="AB36" s="74">
        <f>IFERROR(IF(AA36&gt;0,Z36/AA36,"-"),"-")</f>
        <v/>
      </c>
      <c r="AC36" s="75" t="n">
        <v>1</v>
      </c>
      <c r="AD36" s="74" t="n">
        <v>28</v>
      </c>
      <c r="AE36" s="74">
        <f>IFERROR(IF(AD36&gt;0,AC36/AD36,"-"),"-")</f>
        <v/>
      </c>
      <c r="AF36" s="75" t="n">
        <v>4</v>
      </c>
      <c r="AG36" s="74" t="n"/>
      <c r="AH36" s="74">
        <f>IFERROR(IF(AG36&gt;0,AF36/AG36,"-"),"-")</f>
        <v/>
      </c>
      <c r="AI36" s="75" t="n">
        <v>3</v>
      </c>
      <c r="AJ36" s="74" t="n">
        <v>24</v>
      </c>
      <c r="AK36" s="74">
        <f>IFERROR(IF(AJ36&gt;0,AI36/AJ36,"-"),"-")</f>
        <v/>
      </c>
      <c r="AL36" s="75" t="n">
        <v>1</v>
      </c>
      <c r="AM36" s="74" t="n">
        <v>15</v>
      </c>
      <c r="AN36" s="74">
        <f>IFERROR(IF(AM36&gt;0,AL36/AM36,"-"),"-")</f>
        <v/>
      </c>
      <c r="AO36" s="75" t="n">
        <v>1</v>
      </c>
      <c r="AP36" s="74" t="n">
        <v>12</v>
      </c>
      <c r="AQ36" s="74">
        <f>IFERROR(IF(AP36&gt;0,AO36/AP36,"-"),"-")</f>
        <v/>
      </c>
      <c r="AR36" s="75" t="n"/>
      <c r="AS36" s="59" t="n"/>
      <c r="AT36" s="59" t="n"/>
    </row>
    <row r="37" ht="15" customHeight="1">
      <c r="A37" s="70" t="n">
        <v>28</v>
      </c>
      <c r="B37" s="71" t="inlineStr">
        <is>
          <t>Dakhoon Collection</t>
        </is>
      </c>
      <c r="C37" s="70" t="inlineStr">
        <is>
          <t>D00001</t>
        </is>
      </c>
      <c r="D37" s="71" t="inlineStr">
        <is>
          <t>Dakhoon Al Emarat</t>
        </is>
      </c>
      <c r="E37" s="70" t="n">
        <v>1</v>
      </c>
      <c r="F37" s="72">
        <f>SUM(I37:AP37)</f>
        <v/>
      </c>
      <c r="G37" s="72">
        <f>SUM(J37:AQ37)</f>
        <v/>
      </c>
      <c r="H37" s="73">
        <f>IFERROR(IF(G37&gt;0,F37/G37,"-"),"-")</f>
        <v/>
      </c>
      <c r="I37" s="74" t="n"/>
      <c r="J37" s="74">
        <f>IFERROR(IF(I37&gt;0,H37/I37,"-"),"-")</f>
        <v/>
      </c>
      <c r="K37" s="75" t="n"/>
      <c r="L37" s="74" t="n">
        <v>1</v>
      </c>
      <c r="M37" s="74">
        <f>IFERROR(IF(L37&gt;0,K37/L37,"-"),"-")</f>
        <v/>
      </c>
      <c r="N37" s="75" t="n"/>
      <c r="O37" s="74" t="n"/>
      <c r="P37" s="74">
        <f>IFERROR(IF(O37&gt;0,N37/O37,"-"),"-")</f>
        <v/>
      </c>
      <c r="Q37" s="75" t="n"/>
      <c r="R37" s="74" t="n"/>
      <c r="S37" s="74">
        <f>IFERROR(IF(R37&gt;0,Q37/R37,"-"),"-")</f>
        <v/>
      </c>
      <c r="T37" s="75" t="n">
        <v>1</v>
      </c>
      <c r="U37" s="74" t="n"/>
      <c r="V37" s="74">
        <f>IFERROR(IF(U37&gt;0,T37/U37,"-"),"-")</f>
        <v/>
      </c>
      <c r="W37" s="75" t="n"/>
      <c r="X37" s="74" t="n">
        <v>2</v>
      </c>
      <c r="Y37" s="74">
        <f>IFERROR(IF(X37&gt;0,W37/X37,"-"),"-")</f>
        <v/>
      </c>
      <c r="Z37" s="75" t="n"/>
      <c r="AA37" s="74" t="n">
        <v>25</v>
      </c>
      <c r="AB37" s="74">
        <f>IFERROR(IF(AA37&gt;0,Z37/AA37,"-"),"-")</f>
        <v/>
      </c>
      <c r="AC37" s="75" t="n">
        <v>1</v>
      </c>
      <c r="AD37" s="74" t="n">
        <v>3</v>
      </c>
      <c r="AE37" s="74">
        <f>IFERROR(IF(AD37&gt;0,AC37/AD37,"-"),"-")</f>
        <v/>
      </c>
      <c r="AF37" s="75" t="n">
        <v>2</v>
      </c>
      <c r="AG37" s="74" t="n"/>
      <c r="AH37" s="74">
        <f>IFERROR(IF(AG37&gt;0,AF37/AG37,"-"),"-")</f>
        <v/>
      </c>
      <c r="AI37" s="75" t="n">
        <v>1</v>
      </c>
      <c r="AJ37" s="74" t="n">
        <v>1</v>
      </c>
      <c r="AK37" s="74">
        <f>IFERROR(IF(AJ37&gt;0,AI37/AJ37,"-"),"-")</f>
        <v/>
      </c>
      <c r="AL37" s="75" t="n"/>
      <c r="AM37" s="74" t="n"/>
      <c r="AN37" s="74">
        <f>IFERROR(IF(AM37&gt;0,AL37/AM37,"-"),"-")</f>
        <v/>
      </c>
      <c r="AO37" s="75" t="n"/>
      <c r="AP37" s="74" t="n"/>
      <c r="AQ37" s="74">
        <f>IFERROR(IF(AP37&gt;0,AO37/AP37,"-"),"-")</f>
        <v/>
      </c>
      <c r="AR37" s="75" t="n"/>
      <c r="AS37" s="60" t="n"/>
      <c r="AT37" s="60" t="n"/>
    </row>
    <row r="38" ht="15" customHeight="1">
      <c r="A38" s="70" t="n">
        <v>29</v>
      </c>
      <c r="B38" s="71" t="inlineStr">
        <is>
          <t>Dakhoon Collection</t>
        </is>
      </c>
      <c r="C38" s="70" t="inlineStr">
        <is>
          <t>D00002</t>
        </is>
      </c>
      <c r="D38" s="71" t="inlineStr">
        <is>
          <t>Dakhoon Al Marasim</t>
        </is>
      </c>
      <c r="E38" s="70" t="n">
        <v>3</v>
      </c>
      <c r="F38" s="72">
        <f>SUM(I38:AP38)</f>
        <v/>
      </c>
      <c r="G38" s="72">
        <f>SUM(J38:AQ38)</f>
        <v/>
      </c>
      <c r="H38" s="73">
        <f>IFERROR(IF(G38&gt;0,F38/G38,"-"),"-")</f>
        <v/>
      </c>
      <c r="I38" s="74" t="n">
        <v>2</v>
      </c>
      <c r="J38" s="74">
        <f>IFERROR(IF(I38&gt;0,H38/I38,"-"),"-")</f>
        <v/>
      </c>
      <c r="K38" s="75" t="n"/>
      <c r="L38" s="74" t="n">
        <v>2</v>
      </c>
      <c r="M38" s="74">
        <f>IFERROR(IF(L38&gt;0,K38/L38,"-"),"-")</f>
        <v/>
      </c>
      <c r="N38" s="75" t="n">
        <v>1</v>
      </c>
      <c r="O38" s="74" t="n">
        <v>1</v>
      </c>
      <c r="P38" s="74">
        <f>IFERROR(IF(O38&gt;0,N38/O38,"-"),"-")</f>
        <v/>
      </c>
      <c r="Q38" s="75" t="n"/>
      <c r="R38" s="74" t="n">
        <v>3</v>
      </c>
      <c r="S38" s="74">
        <f>IFERROR(IF(R38&gt;0,Q38/R38,"-"),"-")</f>
        <v/>
      </c>
      <c r="T38" s="75" t="n">
        <v>3</v>
      </c>
      <c r="U38" s="74" t="n">
        <v>3</v>
      </c>
      <c r="V38" s="74">
        <f>IFERROR(IF(U38&gt;0,T38/U38,"-"),"-")</f>
        <v/>
      </c>
      <c r="W38" s="75" t="n"/>
      <c r="X38" s="74" t="n">
        <v>2</v>
      </c>
      <c r="Y38" s="74">
        <f>IFERROR(IF(X38&gt;0,W38/X38,"-"),"-")</f>
        <v/>
      </c>
      <c r="Z38" s="75" t="n"/>
      <c r="AA38" s="74" t="n">
        <v>5</v>
      </c>
      <c r="AB38" s="74">
        <f>IFERROR(IF(AA38&gt;0,Z38/AA38,"-"),"-")</f>
        <v/>
      </c>
      <c r="AC38" s="75" t="n">
        <v>1</v>
      </c>
      <c r="AD38" s="74" t="n">
        <v>6</v>
      </c>
      <c r="AE38" s="74">
        <f>IFERROR(IF(AD38&gt;0,AC38/AD38,"-"),"-")</f>
        <v/>
      </c>
      <c r="AF38" s="75" t="n">
        <v>3</v>
      </c>
      <c r="AG38" s="74" t="n"/>
      <c r="AH38" s="74">
        <f>IFERROR(IF(AG38&gt;0,AF38/AG38,"-"),"-")</f>
        <v/>
      </c>
      <c r="AI38" s="75" t="n"/>
      <c r="AJ38" s="74" t="n">
        <v>2</v>
      </c>
      <c r="AK38" s="74">
        <f>IFERROR(IF(AJ38&gt;0,AI38/AJ38,"-"),"-")</f>
        <v/>
      </c>
      <c r="AL38" s="75" t="n"/>
      <c r="AM38" s="74" t="n">
        <v>1</v>
      </c>
      <c r="AN38" s="74">
        <f>IFERROR(IF(AM38&gt;0,AL38/AM38,"-"),"-")</f>
        <v/>
      </c>
      <c r="AO38" s="75" t="n"/>
      <c r="AP38" s="74" t="n">
        <v>2</v>
      </c>
      <c r="AQ38" s="74">
        <f>IFERROR(IF(AP38&gt;0,AO38/AP38,"-"),"-")</f>
        <v/>
      </c>
      <c r="AR38" s="75" t="n">
        <v>1</v>
      </c>
      <c r="AS38" s="60" t="n"/>
      <c r="AT38" s="60" t="n"/>
    </row>
    <row r="39" ht="15" customHeight="1">
      <c r="A39" s="70" t="n">
        <v>30</v>
      </c>
      <c r="B39" s="71" t="inlineStr">
        <is>
          <t>Dakhoon Collection</t>
        </is>
      </c>
      <c r="C39" s="70" t="inlineStr">
        <is>
          <t>D00003</t>
        </is>
      </c>
      <c r="D39" s="71" t="inlineStr">
        <is>
          <t>Dakhoon Badia</t>
        </is>
      </c>
      <c r="E39" s="70" t="n">
        <v>3</v>
      </c>
      <c r="F39" s="72">
        <f>SUM(I39:AP39)</f>
        <v/>
      </c>
      <c r="G39" s="72">
        <f>SUM(J39:AQ39)</f>
        <v/>
      </c>
      <c r="H39" s="73">
        <f>IFERROR(IF(G39&gt;0,F39/G39,"-"),"-")</f>
        <v/>
      </c>
      <c r="I39" s="74" t="n">
        <v>6</v>
      </c>
      <c r="J39" s="74">
        <f>IFERROR(IF(I39&gt;0,H39/I39,"-"),"-")</f>
        <v/>
      </c>
      <c r="K39" s="75" t="n">
        <v>3</v>
      </c>
      <c r="L39" s="74" t="n">
        <v>7</v>
      </c>
      <c r="M39" s="74">
        <f>IFERROR(IF(L39&gt;0,K39/L39,"-"),"-")</f>
        <v/>
      </c>
      <c r="N39" s="75" t="n">
        <v>2</v>
      </c>
      <c r="O39" s="74" t="n">
        <v>5</v>
      </c>
      <c r="P39" s="74">
        <f>IFERROR(IF(O39&gt;0,N39/O39,"-"),"-")</f>
        <v/>
      </c>
      <c r="Q39" s="75" t="n"/>
      <c r="R39" s="74" t="n">
        <v>5</v>
      </c>
      <c r="S39" s="74">
        <f>IFERROR(IF(R39&gt;0,Q39/R39,"-"),"-")</f>
        <v/>
      </c>
      <c r="T39" s="75" t="n">
        <v>4</v>
      </c>
      <c r="U39" s="74" t="n">
        <v>22</v>
      </c>
      <c r="V39" s="74">
        <f>IFERROR(IF(U39&gt;0,T39/U39,"-"),"-")</f>
        <v/>
      </c>
      <c r="W39" s="75" t="n"/>
      <c r="X39" s="74" t="n">
        <v>13</v>
      </c>
      <c r="Y39" s="74">
        <f>IFERROR(IF(X39&gt;0,W39/X39,"-"),"-")</f>
        <v/>
      </c>
      <c r="Z39" s="75" t="n">
        <v>2</v>
      </c>
      <c r="AA39" s="74" t="n">
        <v>19</v>
      </c>
      <c r="AB39" s="74">
        <f>IFERROR(IF(AA39&gt;0,Z39/AA39,"-"),"-")</f>
        <v/>
      </c>
      <c r="AC39" s="75" t="n">
        <v>2</v>
      </c>
      <c r="AD39" s="74" t="n">
        <v>16</v>
      </c>
      <c r="AE39" s="74">
        <f>IFERROR(IF(AD39&gt;0,AC39/AD39,"-"),"-")</f>
        <v/>
      </c>
      <c r="AF39" s="75" t="n">
        <v>2</v>
      </c>
      <c r="AG39" s="74" t="n"/>
      <c r="AH39" s="74">
        <f>IFERROR(IF(AG39&gt;0,AF39/AG39,"-"),"-")</f>
        <v/>
      </c>
      <c r="AI39" s="75" t="n">
        <v>1</v>
      </c>
      <c r="AJ39" s="74" t="n"/>
      <c r="AK39" s="74">
        <f>IFERROR(IF(AJ39&gt;0,AI39/AJ39,"-"),"-")</f>
        <v/>
      </c>
      <c r="AL39" s="75" t="n"/>
      <c r="AM39" s="74" t="n">
        <v>3</v>
      </c>
      <c r="AN39" s="74">
        <f>IFERROR(IF(AM39&gt;0,AL39/AM39,"-"),"-")</f>
        <v/>
      </c>
      <c r="AO39" s="75" t="n"/>
      <c r="AP39" s="74" t="n">
        <v>19</v>
      </c>
      <c r="AQ39" s="74">
        <f>IFERROR(IF(AP39&gt;0,AO39/AP39,"-"),"-")</f>
        <v/>
      </c>
      <c r="AR39" s="75" t="n"/>
      <c r="AS39" s="60" t="n"/>
      <c r="AT39" s="60" t="n"/>
    </row>
    <row r="40" ht="15" customHeight="1">
      <c r="A40" s="70" t="n">
        <v>31</v>
      </c>
      <c r="B40" s="71" t="inlineStr">
        <is>
          <t>Dakhoon Collection</t>
        </is>
      </c>
      <c r="C40" s="70" t="inlineStr">
        <is>
          <t>D00004</t>
        </is>
      </c>
      <c r="D40" s="71" t="inlineStr">
        <is>
          <t>Dakhoon Al Dar</t>
        </is>
      </c>
      <c r="E40" s="70" t="n"/>
      <c r="F40" s="72">
        <f>SUM(I40:AP40)</f>
        <v/>
      </c>
      <c r="G40" s="72">
        <f>SUM(J40:AQ40)</f>
        <v/>
      </c>
      <c r="H40" s="73">
        <f>IFERROR(IF(G40&gt;0,F40/G40,"-"),"-")</f>
        <v/>
      </c>
      <c r="I40" s="74" t="n"/>
      <c r="J40" s="74">
        <f>IFERROR(IF(I40&gt;0,H40/I40,"-"),"-")</f>
        <v/>
      </c>
      <c r="K40" s="75" t="n">
        <v>1</v>
      </c>
      <c r="L40" s="74" t="n"/>
      <c r="M40" s="74">
        <f>IFERROR(IF(L40&gt;0,K40/L40,"-"),"-")</f>
        <v/>
      </c>
      <c r="N40" s="75" t="n">
        <v>1</v>
      </c>
      <c r="O40" s="74" t="n"/>
      <c r="P40" s="74">
        <f>IFERROR(IF(O40&gt;0,N40/O40,"-"),"-")</f>
        <v/>
      </c>
      <c r="Q40" s="75" t="n"/>
      <c r="R40" s="74" t="n">
        <v>1</v>
      </c>
      <c r="S40" s="74">
        <f>IFERROR(IF(R40&gt;0,Q40/R40,"-"),"-")</f>
        <v/>
      </c>
      <c r="T40" s="75" t="n"/>
      <c r="U40" s="74" t="n"/>
      <c r="V40" s="74">
        <f>IFERROR(IF(U40&gt;0,T40/U40,"-"),"-")</f>
        <v/>
      </c>
      <c r="W40" s="75" t="n">
        <v>1</v>
      </c>
      <c r="X40" s="74" t="n"/>
      <c r="Y40" s="74">
        <f>IFERROR(IF(X40&gt;0,W40/X40,"-"),"-")</f>
        <v/>
      </c>
      <c r="Z40" s="75" t="n">
        <v>1</v>
      </c>
      <c r="AA40" s="74" t="n"/>
      <c r="AB40" s="74">
        <f>IFERROR(IF(AA40&gt;0,Z40/AA40,"-"),"-")</f>
        <v/>
      </c>
      <c r="AC40" s="75" t="n"/>
      <c r="AD40" s="74" t="n">
        <v>1</v>
      </c>
      <c r="AE40" s="74">
        <f>IFERROR(IF(AD40&gt;0,AC40/AD40,"-"),"-")</f>
        <v/>
      </c>
      <c r="AF40" s="75" t="n"/>
      <c r="AG40" s="74" t="n"/>
      <c r="AH40" s="74">
        <f>IFERROR(IF(AG40&gt;0,AF40/AG40,"-"),"-")</f>
        <v/>
      </c>
      <c r="AI40" s="75" t="n"/>
      <c r="AJ40" s="74" t="n"/>
      <c r="AK40" s="74">
        <f>IFERROR(IF(AJ40&gt;0,AI40/AJ40,"-"),"-")</f>
        <v/>
      </c>
      <c r="AL40" s="75" t="n"/>
      <c r="AM40" s="74" t="n"/>
      <c r="AN40" s="74">
        <f>IFERROR(IF(AM40&gt;0,AL40/AM40,"-"),"-")</f>
        <v/>
      </c>
      <c r="AO40" s="75" t="n"/>
      <c r="AP40" s="74" t="n">
        <v>2</v>
      </c>
      <c r="AQ40" s="74">
        <f>IFERROR(IF(AP40&gt;0,AO40/AP40,"-"),"-")</f>
        <v/>
      </c>
      <c r="AR40" s="75" t="n"/>
      <c r="AS40" s="60" t="n"/>
      <c r="AT40" s="60" t="n"/>
    </row>
    <row r="41" ht="15" customHeight="1">
      <c r="A41" s="70" t="n">
        <v>32</v>
      </c>
      <c r="B41" s="71" t="inlineStr">
        <is>
          <t>Dakhoon Collection</t>
        </is>
      </c>
      <c r="C41" s="70" t="inlineStr">
        <is>
          <t>D00005</t>
        </is>
      </c>
      <c r="D41" s="71" t="inlineStr">
        <is>
          <t>Dakhoon Al Barzah</t>
        </is>
      </c>
      <c r="E41" s="70" t="n">
        <v>1</v>
      </c>
      <c r="F41" s="72">
        <f>SUM(I41:AP41)</f>
        <v/>
      </c>
      <c r="G41" s="72">
        <f>SUM(J41:AQ41)</f>
        <v/>
      </c>
      <c r="H41" s="73">
        <f>IFERROR(IF(G41&gt;0,F41/G41,"-"),"-")</f>
        <v/>
      </c>
      <c r="I41" s="74" t="n"/>
      <c r="J41" s="74">
        <f>IFERROR(IF(I41&gt;0,H41/I41,"-"),"-")</f>
        <v/>
      </c>
      <c r="K41" s="75" t="n">
        <v>2</v>
      </c>
      <c r="L41" s="74" t="n">
        <v>2</v>
      </c>
      <c r="M41" s="74">
        <f>IFERROR(IF(L41&gt;0,K41/L41,"-"),"-")</f>
        <v/>
      </c>
      <c r="N41" s="75" t="n"/>
      <c r="O41" s="74" t="n">
        <v>2</v>
      </c>
      <c r="P41" s="74">
        <f>IFERROR(IF(O41&gt;0,N41/O41,"-"),"-")</f>
        <v/>
      </c>
      <c r="Q41" s="75" t="n"/>
      <c r="R41" s="74" t="n"/>
      <c r="S41" s="74">
        <f>IFERROR(IF(R41&gt;0,Q41/R41,"-"),"-")</f>
        <v/>
      </c>
      <c r="T41" s="75" t="n">
        <v>1</v>
      </c>
      <c r="U41" s="74" t="n">
        <v>1</v>
      </c>
      <c r="V41" s="74">
        <f>IFERROR(IF(U41&gt;0,T41/U41,"-"),"-")</f>
        <v/>
      </c>
      <c r="W41" s="75" t="n"/>
      <c r="X41" s="74" t="n">
        <v>1</v>
      </c>
      <c r="Y41" s="74">
        <f>IFERROR(IF(X41&gt;0,W41/X41,"-"),"-")</f>
        <v/>
      </c>
      <c r="Z41" s="75" t="n">
        <v>1</v>
      </c>
      <c r="AA41" s="74" t="n">
        <v>1</v>
      </c>
      <c r="AB41" s="74">
        <f>IFERROR(IF(AA41&gt;0,Z41/AA41,"-"),"-")</f>
        <v/>
      </c>
      <c r="AC41" s="75" t="n">
        <v>1</v>
      </c>
      <c r="AD41" s="74" t="n"/>
      <c r="AE41" s="74">
        <f>IFERROR(IF(AD41&gt;0,AC41/AD41,"-"),"-")</f>
        <v/>
      </c>
      <c r="AF41" s="75" t="n">
        <v>2</v>
      </c>
      <c r="AG41" s="74" t="n"/>
      <c r="AH41" s="74">
        <f>IFERROR(IF(AG41&gt;0,AF41/AG41,"-"),"-")</f>
        <v/>
      </c>
      <c r="AI41" s="75" t="n">
        <v>1</v>
      </c>
      <c r="AJ41" s="74" t="n">
        <v>1</v>
      </c>
      <c r="AK41" s="74">
        <f>IFERROR(IF(AJ41&gt;0,AI41/AJ41,"-"),"-")</f>
        <v/>
      </c>
      <c r="AL41" s="75" t="n">
        <v>1</v>
      </c>
      <c r="AM41" s="74" t="n"/>
      <c r="AN41" s="74">
        <f>IFERROR(IF(AM41&gt;0,AL41/AM41,"-"),"-")</f>
        <v/>
      </c>
      <c r="AO41" s="75" t="n"/>
      <c r="AP41" s="74" t="n">
        <v>5</v>
      </c>
      <c r="AQ41" s="74">
        <f>IFERROR(IF(AP41&gt;0,AO41/AP41,"-"),"-")</f>
        <v/>
      </c>
      <c r="AR41" s="75" t="n">
        <v>1</v>
      </c>
      <c r="AS41" s="60" t="n"/>
      <c r="AT41" s="60" t="n"/>
    </row>
    <row r="42" ht="15" customHeight="1">
      <c r="A42" s="70" t="n">
        <v>33</v>
      </c>
      <c r="B42" s="71" t="inlineStr">
        <is>
          <t>Dakhoon Collection</t>
        </is>
      </c>
      <c r="C42" s="70" t="inlineStr">
        <is>
          <t>D00008</t>
        </is>
      </c>
      <c r="D42" s="71" t="inlineStr">
        <is>
          <t>Dakhoon Retaj</t>
        </is>
      </c>
      <c r="E42" s="70" t="n">
        <v>1</v>
      </c>
      <c r="F42" s="72">
        <f>SUM(I42:AP42)</f>
        <v/>
      </c>
      <c r="G42" s="72">
        <f>SUM(J42:AQ42)</f>
        <v/>
      </c>
      <c r="H42" s="73">
        <f>IFERROR(IF(G42&gt;0,F42/G42,"-"),"-")</f>
        <v/>
      </c>
      <c r="I42" s="74" t="n"/>
      <c r="J42" s="74">
        <f>IFERROR(IF(I42&gt;0,H42/I42,"-"),"-")</f>
        <v/>
      </c>
      <c r="K42" s="75" t="n"/>
      <c r="L42" s="74" t="n"/>
      <c r="M42" s="74">
        <f>IFERROR(IF(L42&gt;0,K42/L42,"-"),"-")</f>
        <v/>
      </c>
      <c r="N42" s="75" t="n"/>
      <c r="O42" s="74" t="n"/>
      <c r="P42" s="74">
        <f>IFERROR(IF(O42&gt;0,N42/O42,"-"),"-")</f>
        <v/>
      </c>
      <c r="Q42" s="75" t="n"/>
      <c r="R42" s="74" t="n"/>
      <c r="S42" s="74">
        <f>IFERROR(IF(R42&gt;0,Q42/R42,"-"),"-")</f>
        <v/>
      </c>
      <c r="T42" s="75" t="n"/>
      <c r="U42" s="74" t="n">
        <v>1</v>
      </c>
      <c r="V42" s="74">
        <f>IFERROR(IF(U42&gt;0,T42/U42,"-"),"-")</f>
        <v/>
      </c>
      <c r="W42" s="75" t="n"/>
      <c r="X42" s="74" t="n"/>
      <c r="Y42" s="74">
        <f>IFERROR(IF(X42&gt;0,W42/X42,"-"),"-")</f>
        <v/>
      </c>
      <c r="Z42" s="75" t="n"/>
      <c r="AA42" s="74" t="n">
        <v>1</v>
      </c>
      <c r="AB42" s="74">
        <f>IFERROR(IF(AA42&gt;0,Z42/AA42,"-"),"-")</f>
        <v/>
      </c>
      <c r="AC42" s="75" t="n"/>
      <c r="AD42" s="74" t="n"/>
      <c r="AE42" s="74">
        <f>IFERROR(IF(AD42&gt;0,AC42/AD42,"-"),"-")</f>
        <v/>
      </c>
      <c r="AF42" s="75" t="n"/>
      <c r="AG42" s="74" t="n"/>
      <c r="AH42" s="74">
        <f>IFERROR(IF(AG42&gt;0,AF42/AG42,"-"),"-")</f>
        <v/>
      </c>
      <c r="AI42" s="75" t="n"/>
      <c r="AJ42" s="74" t="n"/>
      <c r="AK42" s="74">
        <f>IFERROR(IF(AJ42&gt;0,AI42/AJ42,"-"),"-")</f>
        <v/>
      </c>
      <c r="AL42" s="75" t="n"/>
      <c r="AM42" s="74" t="n"/>
      <c r="AN42" s="74">
        <f>IFERROR(IF(AM42&gt;0,AL42/AM42,"-"),"-")</f>
        <v/>
      </c>
      <c r="AO42" s="75" t="n"/>
      <c r="AP42" s="74" t="n"/>
      <c r="AQ42" s="74">
        <f>IFERROR(IF(AP42&gt;0,AO42/AP42,"-"),"-")</f>
        <v/>
      </c>
      <c r="AR42" s="75" t="n"/>
      <c r="AS42" s="60" t="n"/>
      <c r="AT42" s="60" t="n"/>
    </row>
    <row r="43" ht="15" customHeight="1">
      <c r="A43" s="76" t="inlineStr">
        <is>
          <t xml:space="preserve">  OUD COLLECTION</t>
        </is>
      </c>
      <c r="B43" s="77" t="n"/>
      <c r="C43" s="77" t="n"/>
      <c r="D43" s="77" t="n"/>
      <c r="E43" s="77" t="n">
        <v>1</v>
      </c>
      <c r="F43" s="72">
        <f>SUM(I43:AP43)</f>
        <v/>
      </c>
      <c r="G43" s="72">
        <f>SUM(J43:AQ43)</f>
        <v/>
      </c>
      <c r="H43" s="73">
        <f>IFERROR(IF(G43&gt;0,F43/G43,"-"),"-")</f>
        <v/>
      </c>
      <c r="I43" s="74" t="n"/>
      <c r="J43" s="74">
        <f>IFERROR(IF(I43&gt;0,H43/I43,"-"),"-")</f>
        <v/>
      </c>
      <c r="K43" s="75" t="n"/>
      <c r="L43" s="74" t="n"/>
      <c r="M43" s="74">
        <f>IFERROR(IF(L43&gt;0,K43/L43,"-"),"-")</f>
        <v/>
      </c>
      <c r="N43" s="75" t="n"/>
      <c r="O43" s="74" t="n"/>
      <c r="P43" s="74">
        <f>IFERROR(IF(O43&gt;0,N43/O43,"-"),"-")</f>
        <v/>
      </c>
      <c r="Q43" s="75" t="n"/>
      <c r="R43" s="74" t="n"/>
      <c r="S43" s="74">
        <f>IFERROR(IF(R43&gt;0,Q43/R43,"-"),"-")</f>
        <v/>
      </c>
      <c r="T43" s="75" t="n"/>
      <c r="U43" s="74" t="n">
        <v>1</v>
      </c>
      <c r="V43" s="74">
        <f>IFERROR(IF(U43&gt;0,T43/U43,"-"),"-")</f>
        <v/>
      </c>
      <c r="W43" s="75" t="n"/>
      <c r="X43" s="74" t="n">
        <v>1</v>
      </c>
      <c r="Y43" s="74">
        <f>IFERROR(IF(X43&gt;0,W43/X43,"-"),"-")</f>
        <v/>
      </c>
      <c r="Z43" s="75" t="n"/>
      <c r="AA43" s="74" t="n">
        <v>1</v>
      </c>
      <c r="AB43" s="74">
        <f>IFERROR(IF(AA43&gt;0,Z43/AA43,"-"),"-")</f>
        <v/>
      </c>
      <c r="AC43" s="75" t="n"/>
      <c r="AD43" s="74" t="n"/>
      <c r="AE43" s="74">
        <f>IFERROR(IF(AD43&gt;0,AC43/AD43,"-"),"-")</f>
        <v/>
      </c>
      <c r="AF43" s="75" t="n"/>
      <c r="AG43" s="74" t="n"/>
      <c r="AH43" s="74">
        <f>IFERROR(IF(AG43&gt;0,AF43/AG43,"-"),"-")</f>
        <v/>
      </c>
      <c r="AI43" s="75" t="n"/>
      <c r="AJ43" s="74" t="n">
        <v>2</v>
      </c>
      <c r="AK43" s="74">
        <f>IFERROR(IF(AJ43&gt;0,AI43/AJ43,"-"),"-")</f>
        <v/>
      </c>
      <c r="AL43" s="75" t="n"/>
      <c r="AM43" s="74" t="n">
        <v>1</v>
      </c>
      <c r="AN43" s="74">
        <f>IFERROR(IF(AM43&gt;0,AL43/AM43,"-"),"-")</f>
        <v/>
      </c>
      <c r="AO43" s="75" t="n"/>
      <c r="AP43" s="74" t="n"/>
      <c r="AQ43" s="74">
        <f>IFERROR(IF(AP43&gt;0,AO43/AP43,"-"),"-")</f>
        <v/>
      </c>
      <c r="AR43" s="75" t="n"/>
      <c r="AS43" s="59" t="n"/>
      <c r="AT43" s="59" t="n"/>
    </row>
    <row r="44" ht="15" customHeight="1">
      <c r="A44" s="70" t="n">
        <v>34</v>
      </c>
      <c r="B44" s="71" t="inlineStr">
        <is>
          <t>Oud Collection</t>
        </is>
      </c>
      <c r="C44" s="70" t="inlineStr">
        <is>
          <t>O00001</t>
        </is>
      </c>
      <c r="D44" s="71" t="inlineStr">
        <is>
          <t>Oud Amiri</t>
        </is>
      </c>
      <c r="E44" s="70" t="n">
        <v>1</v>
      </c>
      <c r="F44" s="72">
        <f>SUM(I44:AP44)</f>
        <v/>
      </c>
      <c r="G44" s="72">
        <f>SUM(J44:AQ44)</f>
        <v/>
      </c>
      <c r="H44" s="73">
        <f>IFERROR(IF(G44&gt;0,F44/G44,"-"),"-")</f>
        <v/>
      </c>
      <c r="I44" s="74" t="n">
        <v>1</v>
      </c>
      <c r="J44" s="74">
        <f>IFERROR(IF(I44&gt;0,H44/I44,"-"),"-")</f>
        <v/>
      </c>
      <c r="K44" s="75" t="n"/>
      <c r="L44" s="74" t="n"/>
      <c r="M44" s="74">
        <f>IFERROR(IF(L44&gt;0,K44/L44,"-"),"-")</f>
        <v/>
      </c>
      <c r="N44" s="75" t="n"/>
      <c r="O44" s="74" t="n">
        <v>2</v>
      </c>
      <c r="P44" s="74">
        <f>IFERROR(IF(O44&gt;0,N44/O44,"-"),"-")</f>
        <v/>
      </c>
      <c r="Q44" s="75" t="n"/>
      <c r="R44" s="74" t="n"/>
      <c r="S44" s="74">
        <f>IFERROR(IF(R44&gt;0,Q44/R44,"-"),"-")</f>
        <v/>
      </c>
      <c r="T44" s="75" t="n"/>
      <c r="U44" s="74" t="n">
        <v>6</v>
      </c>
      <c r="V44" s="74">
        <f>IFERROR(IF(U44&gt;0,T44/U44,"-"),"-")</f>
        <v/>
      </c>
      <c r="W44" s="75" t="n"/>
      <c r="X44" s="74" t="n"/>
      <c r="Y44" s="74">
        <f>IFERROR(IF(X44&gt;0,W44/X44,"-"),"-")</f>
        <v/>
      </c>
      <c r="Z44" s="75" t="n"/>
      <c r="AA44" s="74" t="n">
        <v>8</v>
      </c>
      <c r="AB44" s="74">
        <f>IFERROR(IF(AA44&gt;0,Z44/AA44,"-"),"-")</f>
        <v/>
      </c>
      <c r="AC44" s="75" t="n"/>
      <c r="AD44" s="74" t="n">
        <v>3</v>
      </c>
      <c r="AE44" s="74">
        <f>IFERROR(IF(AD44&gt;0,AC44/AD44,"-"),"-")</f>
        <v/>
      </c>
      <c r="AF44" s="75" t="n"/>
      <c r="AG44" s="74" t="n"/>
      <c r="AH44" s="74">
        <f>IFERROR(IF(AG44&gt;0,AF44/AG44,"-"),"-")</f>
        <v/>
      </c>
      <c r="AI44" s="75" t="n"/>
      <c r="AJ44" s="74" t="n">
        <v>4</v>
      </c>
      <c r="AK44" s="74">
        <f>IFERROR(IF(AJ44&gt;0,AI44/AJ44,"-"),"-")</f>
        <v/>
      </c>
      <c r="AL44" s="75" t="n"/>
      <c r="AM44" s="74" t="n">
        <v>2</v>
      </c>
      <c r="AN44" s="74">
        <f>IFERROR(IF(AM44&gt;0,AL44/AM44,"-"),"-")</f>
        <v/>
      </c>
      <c r="AO44" s="75" t="n"/>
      <c r="AP44" s="74" t="n">
        <v>1</v>
      </c>
      <c r="AQ44" s="74">
        <f>IFERROR(IF(AP44&gt;0,AO44/AP44,"-"),"-")</f>
        <v/>
      </c>
      <c r="AR44" s="75" t="n"/>
      <c r="AS44" s="60" t="n"/>
      <c r="AT44" s="60" t="n"/>
    </row>
    <row r="45" ht="15" customHeight="1">
      <c r="A45" s="70" t="n">
        <v>35</v>
      </c>
      <c r="B45" s="71" t="inlineStr">
        <is>
          <t>Oud Collection</t>
        </is>
      </c>
      <c r="C45" s="70" t="inlineStr">
        <is>
          <t>O00002</t>
        </is>
      </c>
      <c r="D45" s="71" t="inlineStr">
        <is>
          <t>Oud Meydan</t>
        </is>
      </c>
      <c r="E45" s="70" t="n">
        <v>1</v>
      </c>
      <c r="F45" s="72">
        <f>SUM(I45:AP45)</f>
        <v/>
      </c>
      <c r="G45" s="72">
        <f>SUM(J45:AQ45)</f>
        <v/>
      </c>
      <c r="H45" s="73">
        <f>IFERROR(IF(G45&gt;0,F45/G45,"-"),"-")</f>
        <v/>
      </c>
      <c r="I45" s="74" t="n"/>
      <c r="J45" s="74">
        <f>IFERROR(IF(I45&gt;0,H45/I45,"-"),"-")</f>
        <v/>
      </c>
      <c r="K45" s="75" t="n"/>
      <c r="L45" s="74" t="n"/>
      <c r="M45" s="74">
        <f>IFERROR(IF(L45&gt;0,K45/L45,"-"),"-")</f>
        <v/>
      </c>
      <c r="N45" s="75" t="n"/>
      <c r="O45" s="74" t="n">
        <v>1</v>
      </c>
      <c r="P45" s="74">
        <f>IFERROR(IF(O45&gt;0,N45/O45,"-"),"-")</f>
        <v/>
      </c>
      <c r="Q45" s="75" t="n"/>
      <c r="R45" s="74" t="n">
        <v>5</v>
      </c>
      <c r="S45" s="74">
        <f>IFERROR(IF(R45&gt;0,Q45/R45,"-"),"-")</f>
        <v/>
      </c>
      <c r="T45" s="75" t="n"/>
      <c r="U45" s="74" t="n">
        <v>4</v>
      </c>
      <c r="V45" s="74">
        <f>IFERROR(IF(U45&gt;0,T45/U45,"-"),"-")</f>
        <v/>
      </c>
      <c r="W45" s="75" t="n">
        <v>1</v>
      </c>
      <c r="X45" s="74" t="n">
        <v>5</v>
      </c>
      <c r="Y45" s="74">
        <f>IFERROR(IF(X45&gt;0,W45/X45,"-"),"-")</f>
        <v/>
      </c>
      <c r="Z45" s="75" t="n">
        <v>1</v>
      </c>
      <c r="AA45" s="74" t="n">
        <v>3</v>
      </c>
      <c r="AB45" s="74">
        <f>IFERROR(IF(AA45&gt;0,Z45/AA45,"-"),"-")</f>
        <v/>
      </c>
      <c r="AC45" s="75" t="n"/>
      <c r="AD45" s="74" t="n">
        <v>4</v>
      </c>
      <c r="AE45" s="74">
        <f>IFERROR(IF(AD45&gt;0,AC45/AD45,"-"),"-")</f>
        <v/>
      </c>
      <c r="AF45" s="75" t="n"/>
      <c r="AG45" s="74" t="n"/>
      <c r="AH45" s="74">
        <f>IFERROR(IF(AG45&gt;0,AF45/AG45,"-"),"-")</f>
        <v/>
      </c>
      <c r="AI45" s="75" t="n"/>
      <c r="AJ45" s="74" t="n">
        <v>1</v>
      </c>
      <c r="AK45" s="74">
        <f>IFERROR(IF(AJ45&gt;0,AI45/AJ45,"-"),"-")</f>
        <v/>
      </c>
      <c r="AL45" s="75" t="n"/>
      <c r="AM45" s="74" t="n">
        <v>1</v>
      </c>
      <c r="AN45" s="74">
        <f>IFERROR(IF(AM45&gt;0,AL45/AM45,"-"),"-")</f>
        <v/>
      </c>
      <c r="AO45" s="75" t="n"/>
      <c r="AP45" s="74" t="n">
        <v>3</v>
      </c>
      <c r="AQ45" s="74">
        <f>IFERROR(IF(AP45&gt;0,AO45/AP45,"-"),"-")</f>
        <v/>
      </c>
      <c r="AR45" s="75" t="n">
        <v>1</v>
      </c>
      <c r="AS45" s="60" t="n"/>
      <c r="AT45" s="60" t="n"/>
    </row>
    <row r="46" ht="15" customHeight="1">
      <c r="A46" s="70" t="n">
        <v>36</v>
      </c>
      <c r="B46" s="71" t="inlineStr">
        <is>
          <t>Oud Collection</t>
        </is>
      </c>
      <c r="C46" s="70" t="inlineStr">
        <is>
          <t>O00003</t>
        </is>
      </c>
      <c r="D46" s="71" t="inlineStr">
        <is>
          <t>Oud Al Emarat</t>
        </is>
      </c>
      <c r="E46" s="70" t="n"/>
      <c r="F46" s="72">
        <f>SUM(I46:AP46)</f>
        <v/>
      </c>
      <c r="G46" s="72">
        <f>SUM(J46:AQ46)</f>
        <v/>
      </c>
      <c r="H46" s="73">
        <f>IFERROR(IF(G46&gt;0,F46/G46,"-"),"-")</f>
        <v/>
      </c>
      <c r="I46" s="74" t="n"/>
      <c r="J46" s="74">
        <f>IFERROR(IF(I46&gt;0,H46/I46,"-"),"-")</f>
        <v/>
      </c>
      <c r="K46" s="75" t="n"/>
      <c r="L46" s="74" t="n"/>
      <c r="M46" s="74">
        <f>IFERROR(IF(L46&gt;0,K46/L46,"-"),"-")</f>
        <v/>
      </c>
      <c r="N46" s="75" t="n"/>
      <c r="O46" s="74" t="n">
        <v>4</v>
      </c>
      <c r="P46" s="74">
        <f>IFERROR(IF(O46&gt;0,N46/O46,"-"),"-")</f>
        <v/>
      </c>
      <c r="Q46" s="75" t="n"/>
      <c r="R46" s="74" t="n">
        <v>1</v>
      </c>
      <c r="S46" s="74">
        <f>IFERROR(IF(R46&gt;0,Q46/R46,"-"),"-")</f>
        <v/>
      </c>
      <c r="T46" s="75" t="n"/>
      <c r="U46" s="74" t="n">
        <v>3</v>
      </c>
      <c r="V46" s="74">
        <f>IFERROR(IF(U46&gt;0,T46/U46,"-"),"-")</f>
        <v/>
      </c>
      <c r="W46" s="75" t="n"/>
      <c r="X46" s="74" t="n">
        <v>3</v>
      </c>
      <c r="Y46" s="74">
        <f>IFERROR(IF(X46&gt;0,W46/X46,"-"),"-")</f>
        <v/>
      </c>
      <c r="Z46" s="75" t="n"/>
      <c r="AA46" s="74" t="n">
        <v>3</v>
      </c>
      <c r="AB46" s="74">
        <f>IFERROR(IF(AA46&gt;0,Z46/AA46,"-"),"-")</f>
        <v/>
      </c>
      <c r="AC46" s="75" t="n"/>
      <c r="AD46" s="74" t="n">
        <v>2</v>
      </c>
      <c r="AE46" s="74">
        <f>IFERROR(IF(AD46&gt;0,AC46/AD46,"-"),"-")</f>
        <v/>
      </c>
      <c r="AF46" s="75" t="n">
        <v>1</v>
      </c>
      <c r="AG46" s="74" t="n"/>
      <c r="AH46" s="74">
        <f>IFERROR(IF(AG46&gt;0,AF46/AG46,"-"),"-")</f>
        <v/>
      </c>
      <c r="AI46" s="75" t="n"/>
      <c r="AJ46" s="74" t="n"/>
      <c r="AK46" s="74">
        <f>IFERROR(IF(AJ46&gt;0,AI46/AJ46,"-"),"-")</f>
        <v/>
      </c>
      <c r="AL46" s="75" t="n"/>
      <c r="AM46" s="74" t="n">
        <v>2</v>
      </c>
      <c r="AN46" s="74">
        <f>IFERROR(IF(AM46&gt;0,AL46/AM46,"-"),"-")</f>
        <v/>
      </c>
      <c r="AO46" s="75" t="n"/>
      <c r="AP46" s="74" t="n"/>
      <c r="AQ46" s="74">
        <f>IFERROR(IF(AP46&gt;0,AO46/AP46,"-"),"-")</f>
        <v/>
      </c>
      <c r="AR46" s="75" t="n"/>
      <c r="AS46" s="60" t="n"/>
      <c r="AT46" s="60" t="n"/>
    </row>
    <row r="47" ht="15" customHeight="1">
      <c r="A47" s="70" t="n">
        <v>37</v>
      </c>
      <c r="B47" s="71" t="inlineStr">
        <is>
          <t>Oud Collection</t>
        </is>
      </c>
      <c r="C47" s="70" t="inlineStr">
        <is>
          <t>O00006</t>
        </is>
      </c>
      <c r="D47" s="71" t="inlineStr">
        <is>
          <t>Oud Al Fakhamah</t>
        </is>
      </c>
      <c r="E47" s="70" t="n">
        <v>1</v>
      </c>
      <c r="F47" s="72">
        <f>SUM(I47:AP47)</f>
        <v/>
      </c>
      <c r="G47" s="72">
        <f>SUM(J47:AQ47)</f>
        <v/>
      </c>
      <c r="H47" s="73">
        <f>IFERROR(IF(G47&gt;0,F47/G47,"-"),"-")</f>
        <v/>
      </c>
      <c r="I47" s="74" t="n">
        <v>1</v>
      </c>
      <c r="J47" s="74">
        <f>IFERROR(IF(I47&gt;0,H47/I47,"-"),"-")</f>
        <v/>
      </c>
      <c r="K47" s="75" t="n"/>
      <c r="L47" s="74" t="n"/>
      <c r="M47" s="74">
        <f>IFERROR(IF(L47&gt;0,K47/L47,"-"),"-")</f>
        <v/>
      </c>
      <c r="N47" s="75" t="n">
        <v>1</v>
      </c>
      <c r="O47" s="74" t="n">
        <v>3</v>
      </c>
      <c r="P47" s="74">
        <f>IFERROR(IF(O47&gt;0,N47/O47,"-"),"-")</f>
        <v/>
      </c>
      <c r="Q47" s="75" t="n">
        <v>1</v>
      </c>
      <c r="R47" s="74" t="n">
        <v>4</v>
      </c>
      <c r="S47" s="74">
        <f>IFERROR(IF(R47&gt;0,Q47/R47,"-"),"-")</f>
        <v/>
      </c>
      <c r="T47" s="75" t="n"/>
      <c r="U47" s="74" t="n">
        <v>2</v>
      </c>
      <c r="V47" s="74">
        <f>IFERROR(IF(U47&gt;0,T47/U47,"-"),"-")</f>
        <v/>
      </c>
      <c r="W47" s="75" t="n"/>
      <c r="X47" s="74" t="n">
        <v>2</v>
      </c>
      <c r="Y47" s="74">
        <f>IFERROR(IF(X47&gt;0,W47/X47,"-"),"-")</f>
        <v/>
      </c>
      <c r="Z47" s="75" t="n"/>
      <c r="AA47" s="74" t="n">
        <v>4</v>
      </c>
      <c r="AB47" s="74">
        <f>IFERROR(IF(AA47&gt;0,Z47/AA47,"-"),"-")</f>
        <v/>
      </c>
      <c r="AC47" s="75" t="n"/>
      <c r="AD47" s="74" t="n">
        <v>5</v>
      </c>
      <c r="AE47" s="74">
        <f>IFERROR(IF(AD47&gt;0,AC47/AD47,"-"),"-")</f>
        <v/>
      </c>
      <c r="AF47" s="75" t="n"/>
      <c r="AG47" s="74" t="n"/>
      <c r="AH47" s="74">
        <f>IFERROR(IF(AG47&gt;0,AF47/AG47,"-"),"-")</f>
        <v/>
      </c>
      <c r="AI47" s="75" t="n"/>
      <c r="AJ47" s="74" t="n"/>
      <c r="AK47" s="74">
        <f>IFERROR(IF(AJ47&gt;0,AI47/AJ47,"-"),"-")</f>
        <v/>
      </c>
      <c r="AL47" s="75" t="n"/>
      <c r="AM47" s="74" t="n"/>
      <c r="AN47" s="74">
        <f>IFERROR(IF(AM47&gt;0,AL47/AM47,"-"),"-")</f>
        <v/>
      </c>
      <c r="AO47" s="75" t="n"/>
      <c r="AP47" s="74" t="n"/>
      <c r="AQ47" s="74">
        <f>IFERROR(IF(AP47&gt;0,AO47/AP47,"-"),"-")</f>
        <v/>
      </c>
      <c r="AR47" s="75" t="n"/>
      <c r="AS47" s="60" t="n"/>
      <c r="AT47" s="60" t="n"/>
    </row>
    <row r="48" ht="15" customHeight="1">
      <c r="A48" s="76" t="inlineStr">
        <is>
          <t xml:space="preserve">  SPECIAL SETS</t>
        </is>
      </c>
      <c r="B48" s="77" t="n"/>
      <c r="C48" s="77" t="n"/>
      <c r="D48" s="77" t="n"/>
      <c r="E48" s="77" t="n"/>
      <c r="F48" s="72">
        <f>SUM(I48:AP48)</f>
        <v/>
      </c>
      <c r="G48" s="72">
        <f>SUM(J48:AQ48)</f>
        <v/>
      </c>
      <c r="H48" s="73">
        <f>IFERROR(IF(G48&gt;0,F48/G48,"-"),"-")</f>
        <v/>
      </c>
      <c r="I48" s="74" t="n"/>
      <c r="J48" s="74">
        <f>IFERROR(IF(I48&gt;0,H48/I48,"-"),"-")</f>
        <v/>
      </c>
      <c r="K48" s="75" t="n"/>
      <c r="L48" s="74" t="n"/>
      <c r="M48" s="74">
        <f>IFERROR(IF(L48&gt;0,K48/L48,"-"),"-")</f>
        <v/>
      </c>
      <c r="N48" s="75" t="n"/>
      <c r="O48" s="74" t="n"/>
      <c r="P48" s="74">
        <f>IFERROR(IF(O48&gt;0,N48/O48,"-"),"-")</f>
        <v/>
      </c>
      <c r="Q48" s="75" t="n"/>
      <c r="R48" s="74" t="n">
        <v>1</v>
      </c>
      <c r="S48" s="74">
        <f>IFERROR(IF(R48&gt;0,Q48/R48,"-"),"-")</f>
        <v/>
      </c>
      <c r="T48" s="75" t="n"/>
      <c r="U48" s="74" t="n"/>
      <c r="V48" s="74">
        <f>IFERROR(IF(U48&gt;0,T48/U48,"-"),"-")</f>
        <v/>
      </c>
      <c r="W48" s="75" t="n"/>
      <c r="X48" s="74" t="n"/>
      <c r="Y48" s="74">
        <f>IFERROR(IF(X48&gt;0,W48/X48,"-"),"-")</f>
        <v/>
      </c>
      <c r="Z48" s="75" t="n">
        <v>1</v>
      </c>
      <c r="AA48" s="74" t="n"/>
      <c r="AB48" s="74">
        <f>IFERROR(IF(AA48&gt;0,Z48/AA48,"-"),"-")</f>
        <v/>
      </c>
      <c r="AC48" s="75" t="n"/>
      <c r="AD48" s="74" t="n"/>
      <c r="AE48" s="74">
        <f>IFERROR(IF(AD48&gt;0,AC48/AD48,"-"),"-")</f>
        <v/>
      </c>
      <c r="AF48" s="75" t="n"/>
      <c r="AG48" s="74" t="n"/>
      <c r="AH48" s="74">
        <f>IFERROR(IF(AG48&gt;0,AF48/AG48,"-"),"-")</f>
        <v/>
      </c>
      <c r="AI48" s="75" t="n"/>
      <c r="AJ48" s="74" t="n"/>
      <c r="AK48" s="74">
        <f>IFERROR(IF(AJ48&gt;0,AI48/AJ48,"-"),"-")</f>
        <v/>
      </c>
      <c r="AL48" s="75" t="n"/>
      <c r="AM48" s="74" t="n"/>
      <c r="AN48" s="74">
        <f>IFERROR(IF(AM48&gt;0,AL48/AM48,"-"),"-")</f>
        <v/>
      </c>
      <c r="AO48" s="75" t="n"/>
      <c r="AP48" s="74" t="n"/>
      <c r="AQ48" s="74">
        <f>IFERROR(IF(AP48&gt;0,AO48/AP48,"-"),"-")</f>
        <v/>
      </c>
      <c r="AR48" s="75" t="n"/>
      <c r="AS48" s="59" t="n"/>
      <c r="AT48" s="59" t="n"/>
    </row>
    <row r="49" ht="15" customHeight="1">
      <c r="A49" s="70" t="n">
        <v>38</v>
      </c>
      <c r="B49" s="71" t="inlineStr">
        <is>
          <t>Special Sets</t>
        </is>
      </c>
      <c r="C49" s="70" t="inlineStr">
        <is>
          <t>SP0001</t>
        </is>
      </c>
      <c r="D49" s="71" t="inlineStr">
        <is>
          <t>White Oud</t>
        </is>
      </c>
      <c r="E49" s="70" t="n"/>
      <c r="F49" s="72">
        <f>SUM(I49:AP49)</f>
        <v/>
      </c>
      <c r="G49" s="72">
        <f>SUM(J49:AQ49)</f>
        <v/>
      </c>
      <c r="H49" s="73">
        <f>IFERROR(IF(G49&gt;0,F49/G49,"-"),"-")</f>
        <v/>
      </c>
      <c r="I49" s="74" t="n"/>
      <c r="J49" s="74">
        <f>IFERROR(IF(I49&gt;0,H49/I49,"-"),"-")</f>
        <v/>
      </c>
      <c r="K49" s="75" t="n"/>
      <c r="L49" s="74" t="n"/>
      <c r="M49" s="74">
        <f>IFERROR(IF(L49&gt;0,K49/L49,"-"),"-")</f>
        <v/>
      </c>
      <c r="N49" s="75" t="n"/>
      <c r="O49" s="74" t="n"/>
      <c r="P49" s="74">
        <f>IFERROR(IF(O49&gt;0,N49/O49,"-"),"-")</f>
        <v/>
      </c>
      <c r="Q49" s="75" t="n"/>
      <c r="R49" s="74" t="n"/>
      <c r="S49" s="74">
        <f>IFERROR(IF(R49&gt;0,Q49/R49,"-"),"-")</f>
        <v/>
      </c>
      <c r="T49" s="75" t="n"/>
      <c r="U49" s="74" t="n">
        <v>1</v>
      </c>
      <c r="V49" s="74">
        <f>IFERROR(IF(U49&gt;0,T49/U49,"-"),"-")</f>
        <v/>
      </c>
      <c r="W49" s="75" t="n"/>
      <c r="X49" s="74" t="n">
        <v>1</v>
      </c>
      <c r="Y49" s="74">
        <f>IFERROR(IF(X49&gt;0,W49/X49,"-"),"-")</f>
        <v/>
      </c>
      <c r="Z49" s="75" t="n"/>
      <c r="AA49" s="74" t="n"/>
      <c r="AB49" s="74">
        <f>IFERROR(IF(AA49&gt;0,Z49/AA49,"-"),"-")</f>
        <v/>
      </c>
      <c r="AC49" s="75" t="n"/>
      <c r="AD49" s="74" t="n"/>
      <c r="AE49" s="74">
        <f>IFERROR(IF(AD49&gt;0,AC49/AD49,"-"),"-")</f>
        <v/>
      </c>
      <c r="AF49" s="75" t="n"/>
      <c r="AG49" s="74" t="n"/>
      <c r="AH49" s="74">
        <f>IFERROR(IF(AG49&gt;0,AF49/AG49,"-"),"-")</f>
        <v/>
      </c>
      <c r="AI49" s="75" t="n"/>
      <c r="AJ49" s="74" t="n"/>
      <c r="AK49" s="74">
        <f>IFERROR(IF(AJ49&gt;0,AI49/AJ49,"-"),"-")</f>
        <v/>
      </c>
      <c r="AL49" s="75" t="n"/>
      <c r="AM49" s="74" t="n"/>
      <c r="AN49" s="74">
        <f>IFERROR(IF(AM49&gt;0,AL49/AM49,"-"),"-")</f>
        <v/>
      </c>
      <c r="AO49" s="75" t="n"/>
      <c r="AP49" s="74" t="n"/>
      <c r="AQ49" s="74">
        <f>IFERROR(IF(AP49&gt;0,AO49/AP49,"-"),"-")</f>
        <v/>
      </c>
      <c r="AR49" s="75" t="n"/>
      <c r="AS49" s="60" t="n"/>
      <c r="AT49" s="60" t="n"/>
    </row>
    <row r="50" ht="15" customHeight="1">
      <c r="A50" s="70" t="n">
        <v>39</v>
      </c>
      <c r="B50" s="71" t="inlineStr">
        <is>
          <t>Special Sets</t>
        </is>
      </c>
      <c r="C50" s="70" t="inlineStr">
        <is>
          <t>SP0006</t>
        </is>
      </c>
      <c r="D50" s="71" t="inlineStr">
        <is>
          <t>More Of Oud</t>
        </is>
      </c>
      <c r="E50" s="70" t="n"/>
      <c r="F50" s="72">
        <f>SUM(I50:AP50)</f>
        <v/>
      </c>
      <c r="G50" s="72">
        <f>SUM(J50:AQ50)</f>
        <v/>
      </c>
      <c r="H50" s="73">
        <f>IFERROR(IF(G50&gt;0,F50/G50,"-"),"-")</f>
        <v/>
      </c>
      <c r="I50" s="74" t="n"/>
      <c r="J50" s="74">
        <f>IFERROR(IF(I50&gt;0,H50/I50,"-"),"-")</f>
        <v/>
      </c>
      <c r="K50" s="75" t="n">
        <v>1</v>
      </c>
      <c r="L50" s="74" t="n"/>
      <c r="M50" s="74">
        <f>IFERROR(IF(L50&gt;0,K50/L50,"-"),"-")</f>
        <v/>
      </c>
      <c r="N50" s="75" t="n"/>
      <c r="O50" s="74" t="n"/>
      <c r="P50" s="74">
        <f>IFERROR(IF(O50&gt;0,N50/O50,"-"),"-")</f>
        <v/>
      </c>
      <c r="Q50" s="75" t="n">
        <v>1</v>
      </c>
      <c r="R50" s="74" t="n"/>
      <c r="S50" s="74">
        <f>IFERROR(IF(R50&gt;0,Q50/R50,"-"),"-")</f>
        <v/>
      </c>
      <c r="T50" s="75" t="n"/>
      <c r="U50" s="74" t="n">
        <v>1</v>
      </c>
      <c r="V50" s="74">
        <f>IFERROR(IF(U50&gt;0,T50/U50,"-"),"-")</f>
        <v/>
      </c>
      <c r="W50" s="75" t="n">
        <v>2</v>
      </c>
      <c r="X50" s="74" t="n">
        <v>2</v>
      </c>
      <c r="Y50" s="74">
        <f>IFERROR(IF(X50&gt;0,W50/X50,"-"),"-")</f>
        <v/>
      </c>
      <c r="Z50" s="75" t="n">
        <v>1</v>
      </c>
      <c r="AA50" s="74" t="n">
        <v>1</v>
      </c>
      <c r="AB50" s="74">
        <f>IFERROR(IF(AA50&gt;0,Z50/AA50,"-"),"-")</f>
        <v/>
      </c>
      <c r="AC50" s="75" t="n">
        <v>1</v>
      </c>
      <c r="AD50" s="74" t="n">
        <v>1</v>
      </c>
      <c r="AE50" s="74">
        <f>IFERROR(IF(AD50&gt;0,AC50/AD50,"-"),"-")</f>
        <v/>
      </c>
      <c r="AF50" s="75" t="n"/>
      <c r="AG50" s="74" t="n"/>
      <c r="AH50" s="74">
        <f>IFERROR(IF(AG50&gt;0,AF50/AG50,"-"),"-")</f>
        <v/>
      </c>
      <c r="AI50" s="75" t="n"/>
      <c r="AJ50" s="74" t="n">
        <v>1</v>
      </c>
      <c r="AK50" s="74">
        <f>IFERROR(IF(AJ50&gt;0,AI50/AJ50,"-"),"-")</f>
        <v/>
      </c>
      <c r="AL50" s="75" t="n"/>
      <c r="AM50" s="74" t="n"/>
      <c r="AN50" s="74">
        <f>IFERROR(IF(AM50&gt;0,AL50/AM50,"-"),"-")</f>
        <v/>
      </c>
      <c r="AO50" s="75" t="n"/>
      <c r="AP50" s="74" t="n"/>
      <c r="AQ50" s="74">
        <f>IFERROR(IF(AP50&gt;0,AO50/AP50,"-"),"-")</f>
        <v/>
      </c>
      <c r="AR50" s="75" t="n">
        <v>1</v>
      </c>
      <c r="AS50" s="60" t="n"/>
      <c r="AT50" s="60" t="n"/>
    </row>
    <row r="51" ht="15" customHeight="1">
      <c r="A51" s="70" t="n">
        <v>40</v>
      </c>
      <c r="B51" s="71" t="inlineStr">
        <is>
          <t>Special Sets</t>
        </is>
      </c>
      <c r="C51" s="70" t="inlineStr">
        <is>
          <t>SP0007</t>
        </is>
      </c>
      <c r="D51" s="71" t="inlineStr">
        <is>
          <t>Reflection -T 100 ML</t>
        </is>
      </c>
      <c r="E51" s="70" t="n"/>
      <c r="F51" s="72">
        <f>SUM(I51:AP51)</f>
        <v/>
      </c>
      <c r="G51" s="72">
        <f>SUM(J51:AQ51)</f>
        <v/>
      </c>
      <c r="H51" s="73">
        <f>IFERROR(IF(G51&gt;0,F51/G51,"-"),"-")</f>
        <v/>
      </c>
      <c r="I51" s="74" t="n">
        <v>2</v>
      </c>
      <c r="J51" s="74">
        <f>IFERROR(IF(I51&gt;0,H51/I51,"-"),"-")</f>
        <v/>
      </c>
      <c r="K51" s="75" t="n"/>
      <c r="L51" s="74" t="n"/>
      <c r="M51" s="74">
        <f>IFERROR(IF(L51&gt;0,K51/L51,"-"),"-")</f>
        <v/>
      </c>
      <c r="N51" s="75" t="n"/>
      <c r="O51" s="74" t="n">
        <v>5</v>
      </c>
      <c r="P51" s="74">
        <f>IFERROR(IF(O51&gt;0,N51/O51,"-"),"-")</f>
        <v/>
      </c>
      <c r="Q51" s="75" t="n"/>
      <c r="R51" s="74" t="n">
        <v>2</v>
      </c>
      <c r="S51" s="74">
        <f>IFERROR(IF(R51&gt;0,Q51/R51,"-"),"-")</f>
        <v/>
      </c>
      <c r="T51" s="75" t="n"/>
      <c r="U51" s="74" t="n">
        <v>5</v>
      </c>
      <c r="V51" s="74">
        <f>IFERROR(IF(U51&gt;0,T51/U51,"-"),"-")</f>
        <v/>
      </c>
      <c r="W51" s="75" t="n"/>
      <c r="X51" s="74" t="n">
        <v>4</v>
      </c>
      <c r="Y51" s="74">
        <f>IFERROR(IF(X51&gt;0,W51/X51,"-"),"-")</f>
        <v/>
      </c>
      <c r="Z51" s="75" t="n">
        <v>1</v>
      </c>
      <c r="AA51" s="74" t="n">
        <v>1</v>
      </c>
      <c r="AB51" s="74">
        <f>IFERROR(IF(AA51&gt;0,Z51/AA51,"-"),"-")</f>
        <v/>
      </c>
      <c r="AC51" s="75" t="n"/>
      <c r="AD51" s="74" t="n">
        <v>1</v>
      </c>
      <c r="AE51" s="74">
        <f>IFERROR(IF(AD51&gt;0,AC51/AD51,"-"),"-")</f>
        <v/>
      </c>
      <c r="AF51" s="75" t="n"/>
      <c r="AG51" s="74" t="n"/>
      <c r="AH51" s="74">
        <f>IFERROR(IF(AG51&gt;0,AF51/AG51,"-"),"-")</f>
        <v/>
      </c>
      <c r="AI51" s="75" t="n"/>
      <c r="AJ51" s="74" t="n">
        <v>1</v>
      </c>
      <c r="AK51" s="74">
        <f>IFERROR(IF(AJ51&gt;0,AI51/AJ51,"-"),"-")</f>
        <v/>
      </c>
      <c r="AL51" s="75" t="n"/>
      <c r="AM51" s="74" t="n"/>
      <c r="AN51" s="74">
        <f>IFERROR(IF(AM51&gt;0,AL51/AM51,"-"),"-")</f>
        <v/>
      </c>
      <c r="AO51" s="75" t="n"/>
      <c r="AP51" s="74" t="n">
        <v>2</v>
      </c>
      <c r="AQ51" s="74">
        <f>IFERROR(IF(AP51&gt;0,AO51/AP51,"-"),"-")</f>
        <v/>
      </c>
      <c r="AR51" s="75" t="n">
        <v>1</v>
      </c>
      <c r="AS51" s="60" t="n"/>
      <c r="AT51" s="60" t="n"/>
    </row>
    <row r="52" ht="15" customHeight="1">
      <c r="A52" s="70" t="n">
        <v>41</v>
      </c>
      <c r="B52" s="71" t="inlineStr">
        <is>
          <t>Special Sets</t>
        </is>
      </c>
      <c r="C52" s="70" t="inlineStr">
        <is>
          <t>SP0017</t>
        </is>
      </c>
      <c r="D52" s="71" t="inlineStr">
        <is>
          <t>White Oud Oil 8ml</t>
        </is>
      </c>
      <c r="E52" s="70" t="n"/>
      <c r="F52" s="72">
        <f>SUM(I52:AP52)</f>
        <v/>
      </c>
      <c r="G52" s="72">
        <f>SUM(J52:AQ52)</f>
        <v/>
      </c>
      <c r="H52" s="73">
        <f>IFERROR(IF(G52&gt;0,F52/G52,"-"),"-")</f>
        <v/>
      </c>
      <c r="I52" s="74" t="n"/>
      <c r="J52" s="74">
        <f>IFERROR(IF(I52&gt;0,H52/I52,"-"),"-")</f>
        <v/>
      </c>
      <c r="K52" s="75" t="n"/>
      <c r="L52" s="74" t="n">
        <v>1</v>
      </c>
      <c r="M52" s="74">
        <f>IFERROR(IF(L52&gt;0,K52/L52,"-"),"-")</f>
        <v/>
      </c>
      <c r="N52" s="75" t="n"/>
      <c r="O52" s="74" t="n">
        <v>3</v>
      </c>
      <c r="P52" s="74">
        <f>IFERROR(IF(O52&gt;0,N52/O52,"-"),"-")</f>
        <v/>
      </c>
      <c r="Q52" s="75" t="n"/>
      <c r="R52" s="74" t="n"/>
      <c r="S52" s="74">
        <f>IFERROR(IF(R52&gt;0,Q52/R52,"-"),"-")</f>
        <v/>
      </c>
      <c r="T52" s="75" t="n"/>
      <c r="U52" s="74" t="n">
        <v>3</v>
      </c>
      <c r="V52" s="74">
        <f>IFERROR(IF(U52&gt;0,T52/U52,"-"),"-")</f>
        <v/>
      </c>
      <c r="W52" s="75" t="n">
        <v>1</v>
      </c>
      <c r="X52" s="74" t="n"/>
      <c r="Y52" s="74">
        <f>IFERROR(IF(X52&gt;0,W52/X52,"-"),"-")</f>
        <v/>
      </c>
      <c r="Z52" s="75" t="n"/>
      <c r="AA52" s="74" t="n"/>
      <c r="AB52" s="74">
        <f>IFERROR(IF(AA52&gt;0,Z52/AA52,"-"),"-")</f>
        <v/>
      </c>
      <c r="AC52" s="75" t="n"/>
      <c r="AD52" s="74" t="n"/>
      <c r="AE52" s="74">
        <f>IFERROR(IF(AD52&gt;0,AC52/AD52,"-"),"-")</f>
        <v/>
      </c>
      <c r="AF52" s="75" t="n"/>
      <c r="AG52" s="74" t="n"/>
      <c r="AH52" s="74">
        <f>IFERROR(IF(AG52&gt;0,AF52/AG52,"-"),"-")</f>
        <v/>
      </c>
      <c r="AI52" s="75" t="n"/>
      <c r="AJ52" s="74" t="n"/>
      <c r="AK52" s="74">
        <f>IFERROR(IF(AJ52&gt;0,AI52/AJ52,"-"),"-")</f>
        <v/>
      </c>
      <c r="AL52" s="75" t="n"/>
      <c r="AM52" s="74" t="n"/>
      <c r="AN52" s="74">
        <f>IFERROR(IF(AM52&gt;0,AL52/AM52,"-"),"-")</f>
        <v/>
      </c>
      <c r="AO52" s="75" t="n"/>
      <c r="AP52" s="74" t="n">
        <v>1</v>
      </c>
      <c r="AQ52" s="74">
        <f>IFERROR(IF(AP52&gt;0,AO52/AP52,"-"),"-")</f>
        <v/>
      </c>
      <c r="AR52" s="75" t="n">
        <v>1</v>
      </c>
      <c r="AS52" s="60" t="n"/>
      <c r="AT52" s="60" t="n"/>
    </row>
    <row r="53" ht="15" customHeight="1">
      <c r="A53" s="76" t="inlineStr">
        <is>
          <t xml:space="preserve">  OILS &amp; CPO</t>
        </is>
      </c>
      <c r="B53" s="77" t="n"/>
      <c r="C53" s="77" t="n"/>
      <c r="D53" s="77" t="n"/>
      <c r="E53" s="77" t="n"/>
      <c r="F53" s="72">
        <f>SUM(I53:AP53)</f>
        <v/>
      </c>
      <c r="G53" s="72">
        <f>SUM(J53:AQ53)</f>
        <v/>
      </c>
      <c r="H53" s="73">
        <f>IFERROR(IF(G53&gt;0,F53/G53,"-"),"-")</f>
        <v/>
      </c>
      <c r="I53" s="74" t="n"/>
      <c r="J53" s="74">
        <f>IFERROR(IF(I53&gt;0,H53/I53,"-"),"-")</f>
        <v/>
      </c>
      <c r="K53" s="75" t="n"/>
      <c r="L53" s="74" t="n"/>
      <c r="M53" s="74">
        <f>IFERROR(IF(L53&gt;0,K53/L53,"-"),"-")</f>
        <v/>
      </c>
      <c r="N53" s="75" t="n"/>
      <c r="O53" s="74" t="n">
        <v>1</v>
      </c>
      <c r="P53" s="74">
        <f>IFERROR(IF(O53&gt;0,N53/O53,"-"),"-")</f>
        <v/>
      </c>
      <c r="Q53" s="75" t="n"/>
      <c r="R53" s="74" t="n">
        <v>1</v>
      </c>
      <c r="S53" s="74">
        <f>IFERROR(IF(R53&gt;0,Q53/R53,"-"),"-")</f>
        <v/>
      </c>
      <c r="T53" s="75" t="n"/>
      <c r="U53" s="74" t="n"/>
      <c r="V53" s="74">
        <f>IFERROR(IF(U53&gt;0,T53/U53,"-"),"-")</f>
        <v/>
      </c>
      <c r="W53" s="75" t="n">
        <v>1</v>
      </c>
      <c r="X53" s="74" t="n"/>
      <c r="Y53" s="74">
        <f>IFERROR(IF(X53&gt;0,W53/X53,"-"),"-")</f>
        <v/>
      </c>
      <c r="Z53" s="75" t="n">
        <v>2</v>
      </c>
      <c r="AA53" s="74" t="n"/>
      <c r="AB53" s="74">
        <f>IFERROR(IF(AA53&gt;0,Z53/AA53,"-"),"-")</f>
        <v/>
      </c>
      <c r="AC53" s="75" t="n">
        <v>2</v>
      </c>
      <c r="AD53" s="74" t="n">
        <v>3</v>
      </c>
      <c r="AE53" s="74">
        <f>IFERROR(IF(AD53&gt;0,AC53/AD53,"-"),"-")</f>
        <v/>
      </c>
      <c r="AF53" s="75" t="n"/>
      <c r="AG53" s="74" t="n"/>
      <c r="AH53" s="74">
        <f>IFERROR(IF(AG53&gt;0,AF53/AG53,"-"),"-")</f>
        <v/>
      </c>
      <c r="AI53" s="75" t="n"/>
      <c r="AJ53" s="74" t="n">
        <v>1</v>
      </c>
      <c r="AK53" s="74">
        <f>IFERROR(IF(AJ53&gt;0,AI53/AJ53,"-"),"-")</f>
        <v/>
      </c>
      <c r="AL53" s="75" t="n"/>
      <c r="AM53" s="74" t="n"/>
      <c r="AN53" s="74">
        <f>IFERROR(IF(AM53&gt;0,AL53/AM53,"-"),"-")</f>
        <v/>
      </c>
      <c r="AO53" s="75" t="n"/>
      <c r="AP53" s="74" t="n"/>
      <c r="AQ53" s="74">
        <f>IFERROR(IF(AP53&gt;0,AO53/AP53,"-"),"-")</f>
        <v/>
      </c>
      <c r="AR53" s="75" t="n"/>
      <c r="AS53" s="59" t="n"/>
      <c r="AT53" s="59" t="n"/>
    </row>
    <row r="54" ht="15" customHeight="1">
      <c r="A54" s="70" t="n">
        <v>42</v>
      </c>
      <c r="B54" s="71" t="inlineStr">
        <is>
          <t>Oils &amp; CPO</t>
        </is>
      </c>
      <c r="C54" s="70" t="inlineStr">
        <is>
          <t>I00001</t>
        </is>
      </c>
      <c r="D54" s="71" t="inlineStr">
        <is>
          <t>Hindi Special</t>
        </is>
      </c>
      <c r="E54" s="70" t="n">
        <v>1</v>
      </c>
      <c r="F54" s="72">
        <f>SUM(I54:AP54)</f>
        <v/>
      </c>
      <c r="G54" s="72">
        <f>SUM(J54:AQ54)</f>
        <v/>
      </c>
      <c r="H54" s="73">
        <f>IFERROR(IF(G54&gt;0,F54/G54,"-"),"-")</f>
        <v/>
      </c>
      <c r="I54" s="74" t="n">
        <v>1</v>
      </c>
      <c r="J54" s="74">
        <f>IFERROR(IF(I54&gt;0,H54/I54,"-"),"-")</f>
        <v/>
      </c>
      <c r="K54" s="75" t="n">
        <v>1</v>
      </c>
      <c r="L54" s="74" t="n"/>
      <c r="M54" s="74">
        <f>IFERROR(IF(L54&gt;0,K54/L54,"-"),"-")</f>
        <v/>
      </c>
      <c r="N54" s="75" t="n">
        <v>1</v>
      </c>
      <c r="O54" s="74" t="n"/>
      <c r="P54" s="74">
        <f>IFERROR(IF(O54&gt;0,N54/O54,"-"),"-")</f>
        <v/>
      </c>
      <c r="Q54" s="75" t="n"/>
      <c r="R54" s="74" t="n">
        <v>1</v>
      </c>
      <c r="S54" s="74">
        <f>IFERROR(IF(R54&gt;0,Q54/R54,"-"),"-")</f>
        <v/>
      </c>
      <c r="T54" s="75" t="n">
        <v>2</v>
      </c>
      <c r="U54" s="74" t="n">
        <v>1</v>
      </c>
      <c r="V54" s="74">
        <f>IFERROR(IF(U54&gt;0,T54/U54,"-"),"-")</f>
        <v/>
      </c>
      <c r="W54" s="75" t="n">
        <v>1</v>
      </c>
      <c r="X54" s="74" t="n">
        <v>1</v>
      </c>
      <c r="Y54" s="74">
        <f>IFERROR(IF(X54&gt;0,W54/X54,"-"),"-")</f>
        <v/>
      </c>
      <c r="Z54" s="75" t="n">
        <v>1</v>
      </c>
      <c r="AA54" s="74" t="n">
        <v>3</v>
      </c>
      <c r="AB54" s="74">
        <f>IFERROR(IF(AA54&gt;0,Z54/AA54,"-"),"-")</f>
        <v/>
      </c>
      <c r="AC54" s="75" t="n">
        <v>1</v>
      </c>
      <c r="AD54" s="74" t="n">
        <v>3</v>
      </c>
      <c r="AE54" s="74">
        <f>IFERROR(IF(AD54&gt;0,AC54/AD54,"-"),"-")</f>
        <v/>
      </c>
      <c r="AF54" s="75" t="n">
        <v>1</v>
      </c>
      <c r="AG54" s="74" t="n"/>
      <c r="AH54" s="74">
        <f>IFERROR(IF(AG54&gt;0,AF54/AG54,"-"),"-")</f>
        <v/>
      </c>
      <c r="AI54" s="75" t="n">
        <v>1</v>
      </c>
      <c r="AJ54" s="74" t="n">
        <v>1</v>
      </c>
      <c r="AK54" s="74">
        <f>IFERROR(IF(AJ54&gt;0,AI54/AJ54,"-"),"-")</f>
        <v/>
      </c>
      <c r="AL54" s="75" t="n"/>
      <c r="AM54" s="74" t="n"/>
      <c r="AN54" s="74">
        <f>IFERROR(IF(AM54&gt;0,AL54/AM54,"-"),"-")</f>
        <v/>
      </c>
      <c r="AO54" s="75" t="n"/>
      <c r="AP54" s="74" t="n">
        <v>1</v>
      </c>
      <c r="AQ54" s="74">
        <f>IFERROR(IF(AP54&gt;0,AO54/AP54,"-"),"-")</f>
        <v/>
      </c>
      <c r="AR54" s="75" t="n"/>
      <c r="AS54" s="60" t="n"/>
      <c r="AT54" s="60" t="n"/>
    </row>
    <row r="55" ht="15" customHeight="1">
      <c r="A55" s="70" t="n">
        <v>43</v>
      </c>
      <c r="B55" s="71" t="inlineStr">
        <is>
          <t>Oils &amp; CPO</t>
        </is>
      </c>
      <c r="C55" s="70" t="inlineStr">
        <is>
          <t>I00002</t>
        </is>
      </c>
      <c r="D55" s="71" t="inlineStr">
        <is>
          <t>Seufi Special</t>
        </is>
      </c>
      <c r="E55" s="70" t="n">
        <v>3</v>
      </c>
      <c r="F55" s="72">
        <f>SUM(I55:AP55)</f>
        <v/>
      </c>
      <c r="G55" s="72">
        <f>SUM(J55:AQ55)</f>
        <v/>
      </c>
      <c r="H55" s="73">
        <f>IFERROR(IF(G55&gt;0,F55/G55,"-"),"-")</f>
        <v/>
      </c>
      <c r="I55" s="74" t="n">
        <v>2</v>
      </c>
      <c r="J55" s="74">
        <f>IFERROR(IF(I55&gt;0,H55/I55,"-"),"-")</f>
        <v/>
      </c>
      <c r="K55" s="75" t="n">
        <v>3</v>
      </c>
      <c r="L55" s="74" t="n"/>
      <c r="M55" s="74">
        <f>IFERROR(IF(L55&gt;0,K55/L55,"-"),"-")</f>
        <v/>
      </c>
      <c r="N55" s="75" t="n">
        <v>1</v>
      </c>
      <c r="O55" s="74" t="n"/>
      <c r="P55" s="74">
        <f>IFERROR(IF(O55&gt;0,N55/O55,"-"),"-")</f>
        <v/>
      </c>
      <c r="Q55" s="75" t="n">
        <v>1</v>
      </c>
      <c r="R55" s="74" t="n">
        <v>6</v>
      </c>
      <c r="S55" s="74">
        <f>IFERROR(IF(R55&gt;0,Q55/R55,"-"),"-")</f>
        <v/>
      </c>
      <c r="T55" s="75" t="n">
        <v>2</v>
      </c>
      <c r="U55" s="74" t="n">
        <v>2</v>
      </c>
      <c r="V55" s="74">
        <f>IFERROR(IF(U55&gt;0,T55/U55,"-"),"-")</f>
        <v/>
      </c>
      <c r="W55" s="75" t="n"/>
      <c r="X55" s="74" t="n">
        <v>2</v>
      </c>
      <c r="Y55" s="74">
        <f>IFERROR(IF(X55&gt;0,W55/X55,"-"),"-")</f>
        <v/>
      </c>
      <c r="Z55" s="75" t="n">
        <v>1</v>
      </c>
      <c r="AA55" s="74" t="n">
        <v>8</v>
      </c>
      <c r="AB55" s="74">
        <f>IFERROR(IF(AA55&gt;0,Z55/AA55,"-"),"-")</f>
        <v/>
      </c>
      <c r="AC55" s="75" t="n">
        <v>2</v>
      </c>
      <c r="AD55" s="74" t="n">
        <v>11</v>
      </c>
      <c r="AE55" s="74">
        <f>IFERROR(IF(AD55&gt;0,AC55/AD55,"-"),"-")</f>
        <v/>
      </c>
      <c r="AF55" s="75" t="n">
        <v>1</v>
      </c>
      <c r="AG55" s="74" t="n"/>
      <c r="AH55" s="74">
        <f>IFERROR(IF(AG55&gt;0,AF55/AG55,"-"),"-")</f>
        <v/>
      </c>
      <c r="AI55" s="75" t="n">
        <v>1</v>
      </c>
      <c r="AJ55" s="74" t="n">
        <v>2</v>
      </c>
      <c r="AK55" s="74">
        <f>IFERROR(IF(AJ55&gt;0,AI55/AJ55,"-"),"-")</f>
        <v/>
      </c>
      <c r="AL55" s="75" t="n">
        <v>1</v>
      </c>
      <c r="AM55" s="74" t="n">
        <v>5</v>
      </c>
      <c r="AN55" s="74">
        <f>IFERROR(IF(AM55&gt;0,AL55/AM55,"-"),"-")</f>
        <v/>
      </c>
      <c r="AO55" s="75" t="n"/>
      <c r="AP55" s="74" t="n">
        <v>2</v>
      </c>
      <c r="AQ55" s="74">
        <f>IFERROR(IF(AP55&gt;0,AO55/AP55,"-"),"-")</f>
        <v/>
      </c>
      <c r="AR55" s="75" t="n"/>
      <c r="AS55" s="60" t="n"/>
      <c r="AT55" s="60" t="n"/>
    </row>
    <row r="56" ht="15" customHeight="1">
      <c r="A56" s="70" t="n">
        <v>44</v>
      </c>
      <c r="B56" s="71" t="inlineStr">
        <is>
          <t>Oils &amp; CPO</t>
        </is>
      </c>
      <c r="C56" s="70" t="inlineStr">
        <is>
          <t>I00003</t>
        </is>
      </c>
      <c r="D56" s="71" t="inlineStr">
        <is>
          <t>White Oil -8 ML</t>
        </is>
      </c>
      <c r="E56" s="70" t="n">
        <v>2</v>
      </c>
      <c r="F56" s="72">
        <f>SUM(I56:AP56)</f>
        <v/>
      </c>
      <c r="G56" s="72">
        <f>SUM(J56:AQ56)</f>
        <v/>
      </c>
      <c r="H56" s="73">
        <f>IFERROR(IF(G56&gt;0,F56/G56,"-"),"-")</f>
        <v/>
      </c>
      <c r="I56" s="74" t="n"/>
      <c r="J56" s="74">
        <f>IFERROR(IF(I56&gt;0,H56/I56,"-"),"-")</f>
        <v/>
      </c>
      <c r="K56" s="75" t="n">
        <v>1</v>
      </c>
      <c r="L56" s="74" t="n">
        <v>4</v>
      </c>
      <c r="M56" s="74">
        <f>IFERROR(IF(L56&gt;0,K56/L56,"-"),"-")</f>
        <v/>
      </c>
      <c r="N56" s="75" t="n">
        <v>1</v>
      </c>
      <c r="O56" s="74" t="n">
        <v>1</v>
      </c>
      <c r="P56" s="74">
        <f>IFERROR(IF(O56&gt;0,N56/O56,"-"),"-")</f>
        <v/>
      </c>
      <c r="Q56" s="75" t="n"/>
      <c r="R56" s="74" t="n">
        <v>1</v>
      </c>
      <c r="S56" s="74">
        <f>IFERROR(IF(R56&gt;0,Q56/R56,"-"),"-")</f>
        <v/>
      </c>
      <c r="T56" s="75" t="n">
        <v>2</v>
      </c>
      <c r="U56" s="74" t="n">
        <v>2</v>
      </c>
      <c r="V56" s="74">
        <f>IFERROR(IF(U56&gt;0,T56/U56,"-"),"-")</f>
        <v/>
      </c>
      <c r="W56" s="75" t="n">
        <v>1</v>
      </c>
      <c r="X56" s="74" t="n">
        <v>2</v>
      </c>
      <c r="Y56" s="74">
        <f>IFERROR(IF(X56&gt;0,W56/X56,"-"),"-")</f>
        <v/>
      </c>
      <c r="Z56" s="75" t="n">
        <v>2</v>
      </c>
      <c r="AA56" s="74" t="n">
        <v>5</v>
      </c>
      <c r="AB56" s="74">
        <f>IFERROR(IF(AA56&gt;0,Z56/AA56,"-"),"-")</f>
        <v/>
      </c>
      <c r="AC56" s="75" t="n">
        <v>1</v>
      </c>
      <c r="AD56" s="74" t="n">
        <v>3</v>
      </c>
      <c r="AE56" s="74">
        <f>IFERROR(IF(AD56&gt;0,AC56/AD56,"-"),"-")</f>
        <v/>
      </c>
      <c r="AF56" s="75" t="n">
        <v>1</v>
      </c>
      <c r="AG56" s="74" t="n"/>
      <c r="AH56" s="74">
        <f>IFERROR(IF(AG56&gt;0,AF56/AG56,"-"),"-")</f>
        <v/>
      </c>
      <c r="AI56" s="75" t="n">
        <v>1</v>
      </c>
      <c r="AJ56" s="74" t="n">
        <v>1</v>
      </c>
      <c r="AK56" s="74">
        <f>IFERROR(IF(AJ56&gt;0,AI56/AJ56,"-"),"-")</f>
        <v/>
      </c>
      <c r="AL56" s="75" t="n"/>
      <c r="AM56" s="74" t="n">
        <v>1</v>
      </c>
      <c r="AN56" s="74">
        <f>IFERROR(IF(AM56&gt;0,AL56/AM56,"-"),"-")</f>
        <v/>
      </c>
      <c r="AO56" s="75" t="n"/>
      <c r="AP56" s="74" t="n">
        <v>1</v>
      </c>
      <c r="AQ56" s="74">
        <f>IFERROR(IF(AP56&gt;0,AO56/AP56,"-"),"-")</f>
        <v/>
      </c>
      <c r="AR56" s="75" t="n"/>
      <c r="AS56" s="60" t="n"/>
      <c r="AT56" s="60" t="n"/>
    </row>
    <row r="57" ht="15" customHeight="1">
      <c r="A57" s="70" t="n">
        <v>45</v>
      </c>
      <c r="B57" s="71" t="inlineStr">
        <is>
          <t>Oils &amp; CPO</t>
        </is>
      </c>
      <c r="C57" s="70" t="inlineStr">
        <is>
          <t>I00004</t>
        </is>
      </c>
      <c r="D57" s="71" t="inlineStr">
        <is>
          <t>Maroon Oil - 8 ML</t>
        </is>
      </c>
      <c r="E57" s="70" t="n">
        <v>2</v>
      </c>
      <c r="F57" s="72">
        <f>SUM(I57:AP57)</f>
        <v/>
      </c>
      <c r="G57" s="72">
        <f>SUM(J57:AQ57)</f>
        <v/>
      </c>
      <c r="H57" s="73">
        <f>IFERROR(IF(G57&gt;0,F57/G57,"-"),"-")</f>
        <v/>
      </c>
      <c r="I57" s="74" t="n">
        <v>3</v>
      </c>
      <c r="J57" s="74">
        <f>IFERROR(IF(I57&gt;0,H57/I57,"-"),"-")</f>
        <v/>
      </c>
      <c r="K57" s="75" t="n">
        <v>4</v>
      </c>
      <c r="L57" s="74" t="n">
        <v>20</v>
      </c>
      <c r="M57" s="74">
        <f>IFERROR(IF(L57&gt;0,K57/L57,"-"),"-")</f>
        <v/>
      </c>
      <c r="N57" s="75" t="n">
        <v>1</v>
      </c>
      <c r="O57" s="74" t="n">
        <v>1</v>
      </c>
      <c r="P57" s="74">
        <f>IFERROR(IF(O57&gt;0,N57/O57,"-"),"-")</f>
        <v/>
      </c>
      <c r="Q57" s="75" t="n">
        <v>2</v>
      </c>
      <c r="R57" s="74" t="n">
        <v>10</v>
      </c>
      <c r="S57" s="74">
        <f>IFERROR(IF(R57&gt;0,Q57/R57,"-"),"-")</f>
        <v/>
      </c>
      <c r="T57" s="75" t="n">
        <v>4</v>
      </c>
      <c r="U57" s="74" t="n">
        <v>20</v>
      </c>
      <c r="V57" s="74">
        <f>IFERROR(IF(U57&gt;0,T57/U57,"-"),"-")</f>
        <v/>
      </c>
      <c r="W57" s="75" t="n">
        <v>3</v>
      </c>
      <c r="X57" s="74" t="n">
        <v>13</v>
      </c>
      <c r="Y57" s="74">
        <f>IFERROR(IF(X57&gt;0,W57/X57,"-"),"-")</f>
        <v/>
      </c>
      <c r="Z57" s="75" t="n">
        <v>4</v>
      </c>
      <c r="AA57" s="74" t="n">
        <v>19</v>
      </c>
      <c r="AB57" s="74">
        <f>IFERROR(IF(AA57&gt;0,Z57/AA57,"-"),"-")</f>
        <v/>
      </c>
      <c r="AC57" s="75" t="n">
        <v>4</v>
      </c>
      <c r="AD57" s="74" t="n">
        <v>32</v>
      </c>
      <c r="AE57" s="74">
        <f>IFERROR(IF(AD57&gt;0,AC57/AD57,"-"),"-")</f>
        <v/>
      </c>
      <c r="AF57" s="75" t="n">
        <v>3</v>
      </c>
      <c r="AG57" s="74" t="n"/>
      <c r="AH57" s="74">
        <f>IFERROR(IF(AG57&gt;0,AF57/AG57,"-"),"-")</f>
        <v/>
      </c>
      <c r="AI57" s="75" t="n">
        <v>1</v>
      </c>
      <c r="AJ57" s="74" t="n">
        <v>9</v>
      </c>
      <c r="AK57" s="74">
        <f>IFERROR(IF(AJ57&gt;0,AI57/AJ57,"-"),"-")</f>
        <v/>
      </c>
      <c r="AL57" s="75" t="n">
        <v>2</v>
      </c>
      <c r="AM57" s="74" t="n">
        <v>9</v>
      </c>
      <c r="AN57" s="74">
        <f>IFERROR(IF(AM57&gt;0,AL57/AM57,"-"),"-")</f>
        <v/>
      </c>
      <c r="AO57" s="75" t="n">
        <v>1</v>
      </c>
      <c r="AP57" s="74" t="n">
        <v>10</v>
      </c>
      <c r="AQ57" s="74">
        <f>IFERROR(IF(AP57&gt;0,AO57/AP57,"-"),"-")</f>
        <v/>
      </c>
      <c r="AR57" s="75" t="n">
        <v>1</v>
      </c>
      <c r="AS57" s="60" t="n"/>
      <c r="AT57" s="60" t="n"/>
    </row>
    <row r="58" ht="15" customHeight="1">
      <c r="A58" s="70" t="n">
        <v>46</v>
      </c>
      <c r="B58" s="71" t="inlineStr">
        <is>
          <t>Oils &amp; CPO</t>
        </is>
      </c>
      <c r="C58" s="70" t="inlineStr">
        <is>
          <t>I00006</t>
        </is>
      </c>
      <c r="D58" s="71" t="inlineStr">
        <is>
          <t>Musk oil 8 ML</t>
        </is>
      </c>
      <c r="E58" s="70" t="n"/>
      <c r="F58" s="72">
        <f>SUM(I58:AP58)</f>
        <v/>
      </c>
      <c r="G58" s="72">
        <f>SUM(J58:AQ58)</f>
        <v/>
      </c>
      <c r="H58" s="73">
        <f>IFERROR(IF(G58&gt;0,F58/G58,"-"),"-")</f>
        <v/>
      </c>
      <c r="I58" s="74" t="n"/>
      <c r="J58" s="74">
        <f>IFERROR(IF(I58&gt;0,H58/I58,"-"),"-")</f>
        <v/>
      </c>
      <c r="K58" s="75" t="n"/>
      <c r="L58" s="74" t="n"/>
      <c r="M58" s="74">
        <f>IFERROR(IF(L58&gt;0,K58/L58,"-"),"-")</f>
        <v/>
      </c>
      <c r="N58" s="75" t="n"/>
      <c r="O58" s="74" t="n"/>
      <c r="P58" s="74">
        <f>IFERROR(IF(O58&gt;0,N58/O58,"-"),"-")</f>
        <v/>
      </c>
      <c r="Q58" s="75" t="n"/>
      <c r="R58" s="74" t="n"/>
      <c r="S58" s="74">
        <f>IFERROR(IF(R58&gt;0,Q58/R58,"-"),"-")</f>
        <v/>
      </c>
      <c r="T58" s="75" t="n"/>
      <c r="U58" s="74" t="n"/>
      <c r="V58" s="74">
        <f>IFERROR(IF(U58&gt;0,T58/U58,"-"),"-")</f>
        <v/>
      </c>
      <c r="W58" s="75" t="n"/>
      <c r="X58" s="74" t="n"/>
      <c r="Y58" s="74">
        <f>IFERROR(IF(X58&gt;0,W58/X58,"-"),"-")</f>
        <v/>
      </c>
      <c r="Z58" s="75" t="n"/>
      <c r="AA58" s="74" t="n"/>
      <c r="AB58" s="74">
        <f>IFERROR(IF(AA58&gt;0,Z58/AA58,"-"),"-")</f>
        <v/>
      </c>
      <c r="AC58" s="75" t="n"/>
      <c r="AD58" s="74" t="n"/>
      <c r="AE58" s="74">
        <f>IFERROR(IF(AD58&gt;0,AC58/AD58,"-"),"-")</f>
        <v/>
      </c>
      <c r="AF58" s="75" t="n"/>
      <c r="AG58" s="74" t="n"/>
      <c r="AH58" s="74">
        <f>IFERROR(IF(AG58&gt;0,AF58/AG58,"-"),"-")</f>
        <v/>
      </c>
      <c r="AI58" s="75" t="n"/>
      <c r="AJ58" s="74" t="n"/>
      <c r="AK58" s="74">
        <f>IFERROR(IF(AJ58&gt;0,AI58/AJ58,"-"),"-")</f>
        <v/>
      </c>
      <c r="AL58" s="75" t="n"/>
      <c r="AM58" s="74" t="n"/>
      <c r="AN58" s="74">
        <f>IFERROR(IF(AM58&gt;0,AL58/AM58,"-"),"-")</f>
        <v/>
      </c>
      <c r="AO58" s="75" t="n"/>
      <c r="AP58" s="74" t="n"/>
      <c r="AQ58" s="74">
        <f>IFERROR(IF(AP58&gt;0,AO58/AP58,"-"),"-")</f>
        <v/>
      </c>
      <c r="AR58" s="75" t="n"/>
      <c r="AS58" s="60" t="n"/>
      <c r="AT58" s="60" t="n"/>
    </row>
    <row r="59" ht="15" customHeight="1">
      <c r="A59" s="70" t="n">
        <v>47</v>
      </c>
      <c r="B59" s="71" t="inlineStr">
        <is>
          <t>Oils &amp; CPO</t>
        </is>
      </c>
      <c r="C59" s="70" t="inlineStr">
        <is>
          <t>I00011</t>
        </is>
      </c>
      <c r="D59" s="71" t="inlineStr">
        <is>
          <t>Midnight Oil 8ml</t>
        </is>
      </c>
      <c r="E59" s="70" t="n"/>
      <c r="F59" s="72">
        <f>SUM(I59:AP59)</f>
        <v/>
      </c>
      <c r="G59" s="72">
        <f>SUM(J59:AQ59)</f>
        <v/>
      </c>
      <c r="H59" s="73">
        <f>IFERROR(IF(G59&gt;0,F59/G59,"-"),"-")</f>
        <v/>
      </c>
      <c r="I59" s="74" t="n"/>
      <c r="J59" s="74">
        <f>IFERROR(IF(I59&gt;0,H59/I59,"-"),"-")</f>
        <v/>
      </c>
      <c r="K59" s="75" t="n"/>
      <c r="L59" s="74" t="n"/>
      <c r="M59" s="74">
        <f>IFERROR(IF(L59&gt;0,K59/L59,"-"),"-")</f>
        <v/>
      </c>
      <c r="N59" s="75" t="n"/>
      <c r="O59" s="74" t="n"/>
      <c r="P59" s="74">
        <f>IFERROR(IF(O59&gt;0,N59/O59,"-"),"-")</f>
        <v/>
      </c>
      <c r="Q59" s="75" t="n"/>
      <c r="R59" s="74" t="n"/>
      <c r="S59" s="74">
        <f>IFERROR(IF(R59&gt;0,Q59/R59,"-"),"-")</f>
        <v/>
      </c>
      <c r="T59" s="75" t="n"/>
      <c r="U59" s="74" t="n"/>
      <c r="V59" s="74">
        <f>IFERROR(IF(U59&gt;0,T59/U59,"-"),"-")</f>
        <v/>
      </c>
      <c r="W59" s="75" t="n"/>
      <c r="X59" s="74" t="n"/>
      <c r="Y59" s="74">
        <f>IFERROR(IF(X59&gt;0,W59/X59,"-"),"-")</f>
        <v/>
      </c>
      <c r="Z59" s="75" t="n"/>
      <c r="AA59" s="74" t="n"/>
      <c r="AB59" s="74">
        <f>IFERROR(IF(AA59&gt;0,Z59/AA59,"-"),"-")</f>
        <v/>
      </c>
      <c r="AC59" s="75" t="n">
        <v>1</v>
      </c>
      <c r="AD59" s="74" t="n"/>
      <c r="AE59" s="74">
        <f>IFERROR(IF(AD59&gt;0,AC59/AD59,"-"),"-")</f>
        <v/>
      </c>
      <c r="AF59" s="75" t="n"/>
      <c r="AG59" s="74" t="n"/>
      <c r="AH59" s="74">
        <f>IFERROR(IF(AG59&gt;0,AF59/AG59,"-"),"-")</f>
        <v/>
      </c>
      <c r="AI59" s="75" t="n">
        <v>1</v>
      </c>
      <c r="AJ59" s="74" t="n"/>
      <c r="AK59" s="74">
        <f>IFERROR(IF(AJ59&gt;0,AI59/AJ59,"-"),"-")</f>
        <v/>
      </c>
      <c r="AL59" s="75" t="n"/>
      <c r="AM59" s="74" t="n"/>
      <c r="AN59" s="74">
        <f>IFERROR(IF(AM59&gt;0,AL59/AM59,"-"),"-")</f>
        <v/>
      </c>
      <c r="AO59" s="75" t="n"/>
      <c r="AP59" s="74" t="n"/>
      <c r="AQ59" s="74">
        <f>IFERROR(IF(AP59&gt;0,AO59/AP59,"-"),"-")</f>
        <v/>
      </c>
      <c r="AR59" s="75" t="n"/>
      <c r="AS59" s="60" t="n"/>
      <c r="AT59" s="60" t="n"/>
    </row>
    <row r="60" ht="15" customHeight="1">
      <c r="A60" s="76" t="inlineStr">
        <is>
          <t xml:space="preserve">  ACCESSORIES</t>
        </is>
      </c>
      <c r="B60" s="77" t="n"/>
      <c r="C60" s="77" t="n"/>
      <c r="D60" s="77" t="n"/>
      <c r="E60" s="77" t="n"/>
      <c r="F60" s="72">
        <f>SUM(I60:AP60)</f>
        <v/>
      </c>
      <c r="G60" s="72">
        <f>SUM(J60:AQ60)</f>
        <v/>
      </c>
      <c r="H60" s="73">
        <f>IFERROR(IF(G60&gt;0,F60/G60,"-"),"-")</f>
        <v/>
      </c>
      <c r="I60" s="74" t="n">
        <v>1</v>
      </c>
      <c r="J60" s="74">
        <f>IFERROR(IF(I60&gt;0,H60/I60,"-"),"-")</f>
        <v/>
      </c>
      <c r="K60" s="75" t="n">
        <v>1</v>
      </c>
      <c r="L60" s="74" t="n"/>
      <c r="M60" s="74">
        <f>IFERROR(IF(L60&gt;0,K60/L60,"-"),"-")</f>
        <v/>
      </c>
      <c r="N60" s="75" t="n">
        <v>3</v>
      </c>
      <c r="O60" s="74" t="n"/>
      <c r="P60" s="74">
        <f>IFERROR(IF(O60&gt;0,N60/O60,"-"),"-")</f>
        <v/>
      </c>
      <c r="Q60" s="75" t="n"/>
      <c r="R60" s="74" t="n">
        <v>7</v>
      </c>
      <c r="S60" s="74">
        <f>IFERROR(IF(R60&gt;0,Q60/R60,"-"),"-")</f>
        <v/>
      </c>
      <c r="T60" s="75" t="n">
        <v>2</v>
      </c>
      <c r="U60" s="74" t="n">
        <v>5</v>
      </c>
      <c r="V60" s="74">
        <f>IFERROR(IF(U60&gt;0,T60/U60,"-"),"-")</f>
        <v/>
      </c>
      <c r="W60" s="75" t="n"/>
      <c r="X60" s="74" t="n">
        <v>1</v>
      </c>
      <c r="Y60" s="74">
        <f>IFERROR(IF(X60&gt;0,W60/X60,"-"),"-")</f>
        <v/>
      </c>
      <c r="Z60" s="75" t="n">
        <v>3</v>
      </c>
      <c r="AA60" s="74" t="n">
        <v>3</v>
      </c>
      <c r="AB60" s="74">
        <f>IFERROR(IF(AA60&gt;0,Z60/AA60,"-"),"-")</f>
        <v/>
      </c>
      <c r="AC60" s="75" t="n"/>
      <c r="AD60" s="74" t="n">
        <v>6</v>
      </c>
      <c r="AE60" s="74">
        <f>IFERROR(IF(AD60&gt;0,AC60/AD60,"-"),"-")</f>
        <v/>
      </c>
      <c r="AF60" s="75" t="n"/>
      <c r="AG60" s="74" t="n"/>
      <c r="AH60" s="74">
        <f>IFERROR(IF(AG60&gt;0,AF60/AG60,"-"),"-")</f>
        <v/>
      </c>
      <c r="AI60" s="75" t="n">
        <v>1</v>
      </c>
      <c r="AJ60" s="74" t="n">
        <v>2</v>
      </c>
      <c r="AK60" s="74">
        <f>IFERROR(IF(AJ60&gt;0,AI60/AJ60,"-"),"-")</f>
        <v/>
      </c>
      <c r="AL60" s="75" t="n"/>
      <c r="AM60" s="74" t="n"/>
      <c r="AN60" s="74">
        <f>IFERROR(IF(AM60&gt;0,AL60/AM60,"-"),"-")</f>
        <v/>
      </c>
      <c r="AO60" s="75" t="n">
        <v>1</v>
      </c>
      <c r="AP60" s="74" t="n"/>
      <c r="AQ60" s="74">
        <f>IFERROR(IF(AP60&gt;0,AO60/AP60,"-"),"-")</f>
        <v/>
      </c>
      <c r="AR60" s="75" t="n">
        <v>1</v>
      </c>
      <c r="AS60" s="59" t="n"/>
      <c r="AT60" s="59" t="n"/>
    </row>
    <row r="61" ht="15" customHeight="1">
      <c r="A61" s="70" t="n">
        <v>48</v>
      </c>
      <c r="B61" s="71" t="inlineStr">
        <is>
          <t>Accessories</t>
        </is>
      </c>
      <c r="C61" s="70" t="inlineStr">
        <is>
          <t>AC0001</t>
        </is>
      </c>
      <c r="D61" s="71" t="inlineStr">
        <is>
          <t>Medkhan Small</t>
        </is>
      </c>
      <c r="E61" s="70" t="n">
        <v>4</v>
      </c>
      <c r="F61" s="72">
        <f>SUM(I61:AP61)</f>
        <v/>
      </c>
      <c r="G61" s="72">
        <f>SUM(J61:AQ61)</f>
        <v/>
      </c>
      <c r="H61" s="73">
        <f>IFERROR(IF(G61&gt;0,F61/G61,"-"),"-")</f>
        <v/>
      </c>
      <c r="I61" s="74" t="n">
        <v>12</v>
      </c>
      <c r="J61" s="74">
        <f>IFERROR(IF(I61&gt;0,H61/I61,"-"),"-")</f>
        <v/>
      </c>
      <c r="K61" s="75" t="n">
        <v>2</v>
      </c>
      <c r="L61" s="74" t="n"/>
      <c r="M61" s="74">
        <f>IFERROR(IF(L61&gt;0,K61/L61,"-"),"-")</f>
        <v/>
      </c>
      <c r="N61" s="75" t="n">
        <v>2</v>
      </c>
      <c r="O61" s="74" t="n">
        <v>4</v>
      </c>
      <c r="P61" s="74">
        <f>IFERROR(IF(O61&gt;0,N61/O61,"-"),"-")</f>
        <v/>
      </c>
      <c r="Q61" s="75" t="n">
        <v>2</v>
      </c>
      <c r="R61" s="74" t="n">
        <v>22</v>
      </c>
      <c r="S61" s="74">
        <f>IFERROR(IF(R61&gt;0,Q61/R61,"-"),"-")</f>
        <v/>
      </c>
      <c r="T61" s="75" t="n">
        <v>2</v>
      </c>
      <c r="U61" s="74" t="n">
        <v>22</v>
      </c>
      <c r="V61" s="74">
        <f>IFERROR(IF(U61&gt;0,T61/U61,"-"),"-")</f>
        <v/>
      </c>
      <c r="W61" s="75" t="n">
        <v>2</v>
      </c>
      <c r="X61" s="74" t="n">
        <v>14</v>
      </c>
      <c r="Y61" s="74">
        <f>IFERROR(IF(X61&gt;0,W61/X61,"-"),"-")</f>
        <v/>
      </c>
      <c r="Z61" s="75" t="n">
        <v>7</v>
      </c>
      <c r="AA61" s="74" t="n">
        <v>56</v>
      </c>
      <c r="AB61" s="74">
        <f>IFERROR(IF(AA61&gt;0,Z61/AA61,"-"),"-")</f>
        <v/>
      </c>
      <c r="AC61" s="75" t="n">
        <v>2</v>
      </c>
      <c r="AD61" s="74" t="n">
        <v>35</v>
      </c>
      <c r="AE61" s="74">
        <f>IFERROR(IF(AD61&gt;0,AC61/AD61,"-"),"-")</f>
        <v/>
      </c>
      <c r="AF61" s="75" t="n">
        <v>1</v>
      </c>
      <c r="AG61" s="74" t="n"/>
      <c r="AH61" s="74">
        <f>IFERROR(IF(AG61&gt;0,AF61/AG61,"-"),"-")</f>
        <v/>
      </c>
      <c r="AI61" s="75" t="n">
        <v>5</v>
      </c>
      <c r="AJ61" s="74" t="n">
        <v>13</v>
      </c>
      <c r="AK61" s="74">
        <f>IFERROR(IF(AJ61&gt;0,AI61/AJ61,"-"),"-")</f>
        <v/>
      </c>
      <c r="AL61" s="75" t="n">
        <v>1</v>
      </c>
      <c r="AM61" s="74" t="n">
        <v>11</v>
      </c>
      <c r="AN61" s="74">
        <f>IFERROR(IF(AM61&gt;0,AL61/AM61,"-"),"-")</f>
        <v/>
      </c>
      <c r="AO61" s="75" t="n">
        <v>1</v>
      </c>
      <c r="AP61" s="74" t="n">
        <v>15</v>
      </c>
      <c r="AQ61" s="74">
        <f>IFERROR(IF(AP61&gt;0,AO61/AP61,"-"),"-")</f>
        <v/>
      </c>
      <c r="AR61" s="75" t="n">
        <v>2</v>
      </c>
      <c r="AS61" s="60" t="n"/>
      <c r="AT61" s="60" t="n"/>
    </row>
    <row r="62" ht="15" customHeight="1">
      <c r="A62" s="70" t="n">
        <v>49</v>
      </c>
      <c r="B62" s="71" t="inlineStr">
        <is>
          <t>Accessories</t>
        </is>
      </c>
      <c r="C62" s="70" t="inlineStr">
        <is>
          <t>AC0003</t>
        </is>
      </c>
      <c r="D62" s="71" t="inlineStr">
        <is>
          <t>Lighter</t>
        </is>
      </c>
      <c r="E62" s="70" t="n">
        <v>1</v>
      </c>
      <c r="F62" s="72">
        <f>SUM(I62:AP62)</f>
        <v/>
      </c>
      <c r="G62" s="72">
        <f>SUM(J62:AQ62)</f>
        <v/>
      </c>
      <c r="H62" s="73">
        <f>IFERROR(IF(G62&gt;0,F62/G62,"-"),"-")</f>
        <v/>
      </c>
      <c r="I62" s="74" t="n"/>
      <c r="J62" s="74">
        <f>IFERROR(IF(I62&gt;0,H62/I62,"-"),"-")</f>
        <v/>
      </c>
      <c r="K62" s="75" t="n">
        <v>1</v>
      </c>
      <c r="L62" s="74" t="n"/>
      <c r="M62" s="74">
        <f>IFERROR(IF(L62&gt;0,K62/L62,"-"),"-")</f>
        <v/>
      </c>
      <c r="N62" s="75" t="n"/>
      <c r="O62" s="74" t="n"/>
      <c r="P62" s="74">
        <f>IFERROR(IF(O62&gt;0,N62/O62,"-"),"-")</f>
        <v/>
      </c>
      <c r="Q62" s="75" t="n"/>
      <c r="R62" s="74" t="n"/>
      <c r="S62" s="74">
        <f>IFERROR(IF(R62&gt;0,Q62/R62,"-"),"-")</f>
        <v/>
      </c>
      <c r="T62" s="75" t="n">
        <v>1</v>
      </c>
      <c r="U62" s="74" t="n">
        <v>1</v>
      </c>
      <c r="V62" s="74">
        <f>IFERROR(IF(U62&gt;0,T62/U62,"-"),"-")</f>
        <v/>
      </c>
      <c r="W62" s="75" t="n"/>
      <c r="X62" s="74" t="n">
        <v>1</v>
      </c>
      <c r="Y62" s="74">
        <f>IFERROR(IF(X62&gt;0,W62/X62,"-"),"-")</f>
        <v/>
      </c>
      <c r="Z62" s="75" t="n">
        <v>1</v>
      </c>
      <c r="AA62" s="74" t="n">
        <v>2</v>
      </c>
      <c r="AB62" s="74">
        <f>IFERROR(IF(AA62&gt;0,Z62/AA62,"-"),"-")</f>
        <v/>
      </c>
      <c r="AC62" s="75" t="n"/>
      <c r="AD62" s="74" t="n">
        <v>1</v>
      </c>
      <c r="AE62" s="74">
        <f>IFERROR(IF(AD62&gt;0,AC62/AD62,"-"),"-")</f>
        <v/>
      </c>
      <c r="AF62" s="75" t="n">
        <v>1</v>
      </c>
      <c r="AG62" s="74" t="n"/>
      <c r="AH62" s="74">
        <f>IFERROR(IF(AG62&gt;0,AF62/AG62,"-"),"-")</f>
        <v/>
      </c>
      <c r="AI62" s="75" t="n"/>
      <c r="AJ62" s="74" t="n"/>
      <c r="AK62" s="74">
        <f>IFERROR(IF(AJ62&gt;0,AI62/AJ62,"-"),"-")</f>
        <v/>
      </c>
      <c r="AL62" s="75" t="n"/>
      <c r="AM62" s="74" t="n"/>
      <c r="AN62" s="74">
        <f>IFERROR(IF(AM62&gt;0,AL62/AM62,"-"),"-")</f>
        <v/>
      </c>
      <c r="AO62" s="75" t="n"/>
      <c r="AP62" s="74" t="n"/>
      <c r="AQ62" s="74">
        <f>IFERROR(IF(AP62&gt;0,AO62/AP62,"-"),"-")</f>
        <v/>
      </c>
      <c r="AR62" s="75" t="n">
        <v>2</v>
      </c>
      <c r="AS62" s="60" t="n"/>
      <c r="AT62" s="60" t="n"/>
    </row>
    <row r="63">
      <c r="A63" s="77" t="n"/>
      <c r="B63" s="77" t="n"/>
      <c r="C63" s="77" t="n"/>
      <c r="D63" s="77" t="n"/>
      <c r="E63" s="77" t="n"/>
      <c r="F63" s="72">
        <f>SUM(I63:AP63)</f>
        <v/>
      </c>
      <c r="G63" s="72">
        <f>SUM(J63:AQ63)</f>
        <v/>
      </c>
      <c r="H63" s="73">
        <f>IFERROR(IF(G63&gt;0,F63/G63,"-"),"-")</f>
        <v/>
      </c>
      <c r="I63" s="74" t="n"/>
      <c r="J63" s="74">
        <f>IFERROR(IF(I63&gt;0,H63/I63,"-"),"-")</f>
        <v/>
      </c>
      <c r="K63" s="75" t="n"/>
      <c r="L63" s="74" t="n"/>
      <c r="M63" s="74">
        <f>IFERROR(IF(L63&gt;0,K63/L63,"-"),"-")</f>
        <v/>
      </c>
      <c r="N63" s="75" t="n"/>
      <c r="O63" s="74" t="n"/>
      <c r="P63" s="74">
        <f>IFERROR(IF(O63&gt;0,N63/O63,"-"),"-")</f>
        <v/>
      </c>
      <c r="Q63" s="75" t="n"/>
      <c r="R63" s="74" t="n"/>
      <c r="S63" s="74">
        <f>IFERROR(IF(R63&gt;0,Q63/R63,"-"),"-")</f>
        <v/>
      </c>
      <c r="T63" s="75" t="n"/>
      <c r="U63" s="74" t="n">
        <v>1</v>
      </c>
      <c r="V63" s="74">
        <f>IFERROR(IF(U63&gt;0,T63/U63,"-"),"-")</f>
        <v/>
      </c>
      <c r="W63" s="75" t="n">
        <v>1</v>
      </c>
      <c r="X63" s="74" t="n"/>
      <c r="Y63" s="74">
        <f>IFERROR(IF(X63&gt;0,W63/X63,"-"),"-")</f>
        <v/>
      </c>
      <c r="Z63" s="75" t="n"/>
      <c r="AA63" s="74" t="n"/>
      <c r="AB63" s="74">
        <f>IFERROR(IF(AA63&gt;0,Z63/AA63,"-"),"-")</f>
        <v/>
      </c>
      <c r="AC63" s="75" t="n"/>
      <c r="AD63" s="74" t="n"/>
      <c r="AE63" s="74">
        <f>IFERROR(IF(AD63&gt;0,AC63/AD63,"-"),"-")</f>
        <v/>
      </c>
      <c r="AF63" s="75" t="n"/>
      <c r="AG63" s="74" t="n"/>
      <c r="AH63" s="74">
        <f>IFERROR(IF(AG63&gt;0,AF63/AG63,"-"),"-")</f>
        <v/>
      </c>
      <c r="AI63" s="75" t="n">
        <v>1</v>
      </c>
      <c r="AJ63" s="74" t="n"/>
      <c r="AK63" s="74">
        <f>IFERROR(IF(AJ63&gt;0,AI63/AJ63,"-"),"-")</f>
        <v/>
      </c>
      <c r="AL63" s="75" t="n"/>
      <c r="AM63" s="74" t="n"/>
      <c r="AN63" s="74">
        <f>IFERROR(IF(AM63&gt;0,AL63/AM63,"-"),"-")</f>
        <v/>
      </c>
      <c r="AO63" s="75" t="n"/>
      <c r="AP63" s="74" t="n"/>
      <c r="AQ63" s="74">
        <f>IFERROR(IF(AP63&gt;0,AO63/AP63,"-"),"-")</f>
        <v/>
      </c>
      <c r="AR63" s="75" t="n"/>
      <c r="AS63" s="59" t="n"/>
      <c r="AT63" s="59" t="n"/>
    </row>
    <row r="64">
      <c r="A64" s="77" t="n"/>
      <c r="B64" s="77" t="n"/>
      <c r="C64" s="77" t="n"/>
      <c r="D64" s="77" t="n"/>
      <c r="E64" s="77" t="n"/>
      <c r="F64" s="72">
        <f>SUM(I64:AP64)</f>
        <v/>
      </c>
      <c r="G64" s="72">
        <f>SUM(J64:AQ64)</f>
        <v/>
      </c>
      <c r="H64" s="73">
        <f>IFERROR(IF(G64&gt;0,F64/G64,"-"),"-")</f>
        <v/>
      </c>
      <c r="I64" s="74" t="n"/>
      <c r="J64" s="74">
        <f>IFERROR(IF(I64&gt;0,H64/I64,"-"),"-")</f>
        <v/>
      </c>
      <c r="K64" s="75" t="n"/>
      <c r="L64" s="74" t="n"/>
      <c r="M64" s="74">
        <f>IFERROR(IF(L64&gt;0,K64/L64,"-"),"-")</f>
        <v/>
      </c>
      <c r="N64" s="75" t="n"/>
      <c r="O64" s="74" t="n"/>
      <c r="P64" s="74">
        <f>IFERROR(IF(O64&gt;0,N64/O64,"-"),"-")</f>
        <v/>
      </c>
      <c r="Q64" s="75" t="n"/>
      <c r="R64" s="74" t="n"/>
      <c r="S64" s="74">
        <f>IFERROR(IF(R64&gt;0,Q64/R64,"-"),"-")</f>
        <v/>
      </c>
      <c r="T64" s="75" t="n"/>
      <c r="U64" s="74" t="n">
        <v>1</v>
      </c>
      <c r="V64" s="74">
        <f>IFERROR(IF(U64&gt;0,T64/U64,"-"),"-")</f>
        <v/>
      </c>
      <c r="W64" s="75" t="n"/>
      <c r="X64" s="74" t="n">
        <v>2</v>
      </c>
      <c r="Y64" s="74">
        <f>IFERROR(IF(X64&gt;0,W64/X64,"-"),"-")</f>
        <v/>
      </c>
      <c r="Z64" s="75" t="n"/>
      <c r="AA64" s="74" t="n"/>
      <c r="AB64" s="74">
        <f>IFERROR(IF(AA64&gt;0,Z64/AA64,"-"),"-")</f>
        <v/>
      </c>
      <c r="AC64" s="75" t="n"/>
      <c r="AD64" s="74" t="n"/>
      <c r="AE64" s="74">
        <f>IFERROR(IF(AD64&gt;0,AC64/AD64,"-"),"-")</f>
        <v/>
      </c>
      <c r="AF64" s="75" t="n">
        <v>1</v>
      </c>
      <c r="AG64" s="74" t="n"/>
      <c r="AH64" s="74">
        <f>IFERROR(IF(AG64&gt;0,AF64/AG64,"-"),"-")</f>
        <v/>
      </c>
      <c r="AI64" s="75" t="n"/>
      <c r="AJ64" s="74" t="n"/>
      <c r="AK64" s="74">
        <f>IFERROR(IF(AJ64&gt;0,AI64/AJ64,"-"),"-")</f>
        <v/>
      </c>
      <c r="AL64" s="75" t="n"/>
      <c r="AM64" s="74" t="n"/>
      <c r="AN64" s="74">
        <f>IFERROR(IF(AM64&gt;0,AL64/AM64,"-"),"-")</f>
        <v/>
      </c>
      <c r="AO64" s="75" t="n"/>
      <c r="AP64" s="74" t="n"/>
      <c r="AQ64" s="74">
        <f>IFERROR(IF(AP64&gt;0,AO64/AP64,"-"),"-")</f>
        <v/>
      </c>
      <c r="AR64" s="75" t="n"/>
      <c r="AS64" s="59" t="n"/>
      <c r="AT64" s="59" t="n"/>
    </row>
  </sheetData>
  <mergeCells count="14">
    <mergeCell ref="AA3"/>
    <mergeCell ref="AG3"/>
    <mergeCell ref="AM3"/>
    <mergeCell ref="A2:AZ2"/>
    <mergeCell ref="AD3"/>
    <mergeCell ref="O3"/>
    <mergeCell ref="AP3"/>
    <mergeCell ref="L3"/>
    <mergeCell ref="X3"/>
    <mergeCell ref="A1:AZ1"/>
    <mergeCell ref="AJ3"/>
    <mergeCell ref="I3"/>
    <mergeCell ref="U3"/>
    <mergeCell ref="R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237E"/>
    <outlinePr summaryBelow="1" summaryRight="1"/>
    <pageSetUpPr/>
  </sheetPr>
  <dimension ref="A1:AZ64"/>
  <sheetViews>
    <sheetView showGridLines="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2" customWidth="1" min="4" max="4"/>
    <col width="25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7.5" customWidth="1" min="18" max="18"/>
    <col width="9" customWidth="1" min="19" max="19"/>
  </cols>
  <sheetData>
    <row r="1" ht="25" customHeight="1">
      <c r="A1" s="55" t="inlineStr">
        <is>
          <t>EMIRATES PRIDE PERFUMES | TESTER CONSUMPTION | JAN 2026 | IMAD</t>
        </is>
      </c>
    </row>
    <row r="2" ht="14" customHeight="1">
      <c r="A2" s="56" t="inlineStr">
        <is>
          <t>T=Testers Dispatched (blue) | S=Sales Generated (green) | Contrib%=Contribution %</t>
        </is>
      </c>
    </row>
    <row r="3" ht="30" customHeight="1">
      <c r="A3" s="57" t="inlineStr">
        <is>
          <t>#</t>
        </is>
      </c>
      <c r="B3" s="57" t="inlineStr">
        <is>
          <t>Category</t>
        </is>
      </c>
      <c r="C3" s="57" t="inlineStr">
        <is>
          <t>Sub-Category</t>
        </is>
      </c>
      <c r="D3" s="57" t="inlineStr">
        <is>
          <t>SKU Code</t>
        </is>
      </c>
      <c r="E3" s="57" t="inlineStr">
        <is>
          <t>Product Name</t>
        </is>
      </c>
      <c r="F3" s="57" t="inlineStr">
        <is>
          <t>Grand Total
Testers</t>
        </is>
      </c>
      <c r="G3" s="57" t="inlineStr">
        <is>
          <t>Grand Total
Sales</t>
        </is>
      </c>
      <c r="H3" s="57" t="inlineStr">
        <is>
          <t>Grand Total
Contrib%</t>
        </is>
      </c>
      <c r="I3" s="58" t="inlineStr">
        <is>
          <t>Mirdif CC</t>
        </is>
      </c>
      <c r="J3" s="59" t="n"/>
      <c r="K3" s="60" t="n"/>
      <c r="L3" s="58" t="inlineStr">
        <is>
          <t>Dubai Hills</t>
        </is>
      </c>
      <c r="M3" s="59" t="n"/>
      <c r="N3" s="60" t="n"/>
      <c r="O3" s="58" t="inlineStr">
        <is>
          <t>Dubai Fest City</t>
        </is>
      </c>
      <c r="P3" s="59" t="n"/>
      <c r="Q3" s="60" t="n"/>
      <c r="R3" s="59" t="n"/>
      <c r="S3" s="59" t="n"/>
    </row>
    <row r="4" ht="44" customHeight="1">
      <c r="A4" s="61" t="n"/>
      <c r="B4" s="61" t="n"/>
      <c r="C4" s="61" t="n"/>
      <c r="D4" s="61" t="n"/>
      <c r="E4" s="61" t="n"/>
      <c r="F4" s="61" t="inlineStr">
        <is>
          <t>T</t>
        </is>
      </c>
      <c r="G4" s="61" t="inlineStr">
        <is>
          <t>S</t>
        </is>
      </c>
      <c r="H4" s="61" t="inlineStr">
        <is>
          <t>Contrib%</t>
        </is>
      </c>
      <c r="I4" s="62" t="inlineStr">
        <is>
          <t>T</t>
        </is>
      </c>
      <c r="J4" s="62" t="inlineStr">
        <is>
          <t>S</t>
        </is>
      </c>
      <c r="K4" s="62" t="inlineStr">
        <is>
          <t>Contrib%</t>
        </is>
      </c>
      <c r="L4" s="62" t="inlineStr">
        <is>
          <t>T</t>
        </is>
      </c>
      <c r="M4" s="62" t="inlineStr">
        <is>
          <t>S</t>
        </is>
      </c>
      <c r="N4" s="62" t="inlineStr">
        <is>
          <t>Contrib%</t>
        </is>
      </c>
      <c r="O4" s="62" t="inlineStr">
        <is>
          <t>T</t>
        </is>
      </c>
      <c r="P4" s="62" t="inlineStr">
        <is>
          <t>S</t>
        </is>
      </c>
      <c r="Q4" s="62" t="inlineStr">
        <is>
          <t>Contrib%</t>
        </is>
      </c>
      <c r="R4" s="60" t="n"/>
      <c r="S4" s="60" t="n"/>
    </row>
    <row r="5" ht="20" customHeight="1">
      <c r="A5" s="63" t="inlineStr">
        <is>
          <t>GRAND TOTAL</t>
        </is>
      </c>
      <c r="B5" s="59" t="n"/>
      <c r="C5" s="59" t="n"/>
      <c r="D5" s="59" t="n"/>
      <c r="E5" s="60" t="n"/>
      <c r="F5" s="64">
        <f>SUM(F12:F64)</f>
        <v/>
      </c>
      <c r="G5" s="64">
        <f>SUM(G12:G64)</f>
        <v/>
      </c>
      <c r="H5" s="65">
        <f>IFERROR(IF(G5&gt;0,F5/G5,"-"),"-")</f>
        <v/>
      </c>
      <c r="I5" s="66">
        <f>SUM(I12:I64)</f>
        <v/>
      </c>
      <c r="J5" s="66">
        <f>SUM(J12:J64)</f>
        <v/>
      </c>
      <c r="K5" s="67">
        <f>IFERROR(IF(J5&gt;0,I5/J5,"-"),"-")</f>
        <v/>
      </c>
      <c r="L5" s="66">
        <f>SUM(L12:L64)</f>
        <v/>
      </c>
      <c r="M5" s="66">
        <f>SUM(M12:M64)</f>
        <v/>
      </c>
      <c r="N5" s="67">
        <f>IFERROR(IF(M5&gt;0,L5/M5,"-"),"-")</f>
        <v/>
      </c>
      <c r="O5" s="66">
        <f>SUM(O12:O64)</f>
        <v/>
      </c>
      <c r="P5" s="66">
        <f>SUM(P12:P64)</f>
        <v/>
      </c>
      <c r="Q5" s="67">
        <f>IFERROR(IF(P5&gt;0,O5/P5,"-"),"-")</f>
        <v/>
      </c>
      <c r="R5" s="60" t="n"/>
      <c r="S5" s="60" t="n"/>
    </row>
    <row r="6" ht="15" customHeight="1">
      <c r="A6" s="68" t="n"/>
      <c r="B6" s="59" t="n"/>
      <c r="C6" s="59" t="n"/>
      <c r="D6" s="59" t="n"/>
      <c r="E6" s="59" t="n"/>
      <c r="F6" s="59" t="n"/>
      <c r="G6" s="59" t="n"/>
      <c r="H6" s="59" t="n"/>
      <c r="I6" s="59" t="n"/>
      <c r="J6" s="59" t="n"/>
      <c r="K6" s="59" t="n"/>
      <c r="L6" s="59" t="n"/>
      <c r="M6" s="59" t="n"/>
      <c r="N6" s="59" t="n"/>
      <c r="O6" s="59" t="n"/>
      <c r="P6" s="59" t="n"/>
      <c r="Q6" s="59" t="n"/>
      <c r="R6" s="59" t="n"/>
      <c r="S6" s="59" t="n"/>
    </row>
    <row r="7" ht="15" customHeight="1">
      <c r="A7" s="60" t="n"/>
      <c r="B7" s="69" t="n"/>
      <c r="C7" s="60" t="n"/>
      <c r="D7" s="69" t="n"/>
      <c r="E7" s="60" t="n"/>
      <c r="F7" s="60" t="n"/>
      <c r="G7" s="60" t="n"/>
      <c r="H7" s="60" t="n"/>
      <c r="I7" s="60" t="n"/>
      <c r="J7" s="60" t="n"/>
      <c r="K7" s="60" t="n"/>
      <c r="L7" s="60" t="n"/>
      <c r="M7" s="60" t="n"/>
      <c r="N7" s="60" t="n"/>
      <c r="O7" s="60" t="n"/>
      <c r="P7" s="60" t="n"/>
      <c r="Q7" s="60" t="n"/>
      <c r="R7" s="60" t="n"/>
      <c r="S7" s="60" t="n"/>
    </row>
    <row r="8" ht="15" customHeight="1">
      <c r="A8" s="60" t="n"/>
      <c r="B8" s="69" t="n"/>
      <c r="C8" s="60" t="n"/>
      <c r="D8" s="69" t="n"/>
      <c r="E8" s="60" t="n"/>
      <c r="F8" s="60" t="n"/>
      <c r="G8" s="60" t="n"/>
      <c r="H8" s="60" t="n"/>
      <c r="I8" s="60" t="n"/>
      <c r="J8" s="60" t="n"/>
      <c r="K8" s="60" t="n"/>
      <c r="L8" s="60" t="n"/>
      <c r="M8" s="60" t="n"/>
      <c r="N8" s="60" t="n"/>
      <c r="O8" s="60" t="n"/>
      <c r="P8" s="60" t="n"/>
      <c r="Q8" s="60" t="n"/>
      <c r="R8" s="60" t="n"/>
      <c r="S8" s="60" t="n"/>
    </row>
    <row r="9" ht="15" customHeight="1">
      <c r="A9" s="60" t="n"/>
      <c r="B9" s="69" t="n"/>
      <c r="C9" s="60" t="n"/>
      <c r="D9" s="69" t="n"/>
      <c r="E9" s="60" t="n"/>
      <c r="F9" s="60" t="n"/>
      <c r="G9" s="60" t="n"/>
      <c r="H9" s="60" t="n"/>
      <c r="I9" s="60" t="n"/>
      <c r="J9" s="60" t="n"/>
      <c r="K9" s="60" t="n"/>
      <c r="L9" s="60" t="n"/>
      <c r="M9" s="60" t="n"/>
      <c r="N9" s="60" t="n"/>
      <c r="O9" s="60" t="n"/>
      <c r="P9" s="60" t="n"/>
      <c r="Q9" s="60" t="n"/>
      <c r="R9" s="60" t="n"/>
      <c r="S9" s="60" t="n"/>
    </row>
    <row r="10" ht="15" customHeight="1">
      <c r="A10" s="60" t="n"/>
      <c r="B10" s="69" t="n"/>
      <c r="C10" s="60" t="n"/>
      <c r="D10" s="69" t="n"/>
      <c r="E10" s="60" t="n"/>
      <c r="F10" s="60" t="n"/>
      <c r="G10" s="60" t="n"/>
      <c r="H10" s="60" t="n"/>
      <c r="I10" s="60" t="n"/>
      <c r="J10" s="60" t="n"/>
      <c r="K10" s="60" t="n"/>
      <c r="L10" s="60" t="n"/>
      <c r="M10" s="60" t="n"/>
      <c r="N10" s="60" t="n"/>
      <c r="O10" s="60" t="n"/>
      <c r="P10" s="60" t="n"/>
      <c r="Q10" s="60" t="n"/>
      <c r="R10" s="60" t="n"/>
      <c r="S10" s="60" t="n"/>
    </row>
    <row r="11" ht="15" customHeight="1">
      <c r="A11" s="68" t="n"/>
      <c r="B11" s="59" t="n"/>
      <c r="C11" s="59" t="n"/>
      <c r="D11" s="59" t="n"/>
      <c r="E11" s="59" t="n"/>
      <c r="F11" s="59" t="n"/>
      <c r="G11" s="59" t="n"/>
      <c r="H11" s="59" t="n"/>
      <c r="I11" s="59" t="n"/>
      <c r="J11" s="59" t="n"/>
      <c r="K11" s="59" t="n"/>
      <c r="L11" s="59" t="n"/>
      <c r="M11" s="59" t="n"/>
      <c r="N11" s="59" t="n"/>
      <c r="O11" s="59" t="n"/>
      <c r="P11" s="59" t="n"/>
      <c r="Q11" s="59" t="n"/>
      <c r="R11" s="59" t="n"/>
      <c r="S11" s="59" t="n"/>
    </row>
    <row r="12" ht="15" customHeight="1">
      <c r="A12" s="70" t="n">
        <v>5</v>
      </c>
      <c r="B12" s="71" t="inlineStr">
        <is>
          <t>Bel Collections</t>
        </is>
      </c>
      <c r="C12" s="70" t="inlineStr">
        <is>
          <t>B00001</t>
        </is>
      </c>
      <c r="D12" s="71" t="inlineStr">
        <is>
          <t>Bergamot bel Amber</t>
        </is>
      </c>
      <c r="E12" s="70" t="n"/>
      <c r="F12" s="72">
        <f>SUM(I12:O12)</f>
        <v/>
      </c>
      <c r="G12" s="72">
        <f>SUM(J12:P12)</f>
        <v/>
      </c>
      <c r="H12" s="73">
        <f>IFERROR(IF(G12&gt;0,F12/G12,"-"),"-")</f>
        <v/>
      </c>
      <c r="I12" s="74" t="n">
        <v>13</v>
      </c>
      <c r="J12" s="74">
        <f>IFERROR(IF(I12&gt;0,H12/I12,"-"),"-")</f>
        <v/>
      </c>
      <c r="K12" s="75" t="n">
        <v>1</v>
      </c>
      <c r="L12" s="74" t="n">
        <v>6</v>
      </c>
      <c r="M12" s="74">
        <f>IFERROR(IF(L12&gt;0,K12/L12,"-"),"-")</f>
        <v/>
      </c>
      <c r="N12" s="75" t="n">
        <v>1</v>
      </c>
      <c r="O12" s="74" t="n">
        <v>7</v>
      </c>
      <c r="P12" s="74">
        <f>IFERROR(IF(O12&gt;0,N12/O12,"-"),"-")</f>
        <v/>
      </c>
      <c r="Q12" s="75" t="n">
        <v>1</v>
      </c>
      <c r="R12" s="60" t="n"/>
      <c r="S12" s="60" t="n"/>
    </row>
    <row r="13" ht="15" customHeight="1">
      <c r="A13" s="70" t="n">
        <v>6</v>
      </c>
      <c r="B13" s="71" t="inlineStr">
        <is>
          <t>Bel Collections</t>
        </is>
      </c>
      <c r="C13" s="70" t="inlineStr">
        <is>
          <t>B00002</t>
        </is>
      </c>
      <c r="D13" s="71" t="inlineStr">
        <is>
          <t>Jasmin bel Musk</t>
        </is>
      </c>
      <c r="E13" s="70" t="n">
        <v>2</v>
      </c>
      <c r="F13" s="72">
        <f>SUM(I13:O13)</f>
        <v/>
      </c>
      <c r="G13" s="72">
        <f>SUM(J13:P13)</f>
        <v/>
      </c>
      <c r="H13" s="73">
        <f>IFERROR(IF(G13&gt;0,F13/G13,"-"),"-")</f>
        <v/>
      </c>
      <c r="I13" s="74" t="n">
        <v>55</v>
      </c>
      <c r="J13" s="74">
        <f>IFERROR(IF(I13&gt;0,H13/I13,"-"),"-")</f>
        <v/>
      </c>
      <c r="K13" s="75" t="n">
        <v>1</v>
      </c>
      <c r="L13" s="74" t="n">
        <v>13</v>
      </c>
      <c r="M13" s="74">
        <f>IFERROR(IF(L13&gt;0,K13/L13,"-"),"-")</f>
        <v/>
      </c>
      <c r="N13" s="75" t="n">
        <v>1</v>
      </c>
      <c r="O13" s="74" t="n">
        <v>15</v>
      </c>
      <c r="P13" s="74">
        <f>IFERROR(IF(O13&gt;0,N13/O13,"-"),"-")</f>
        <v/>
      </c>
      <c r="Q13" s="75" t="n">
        <v>1</v>
      </c>
      <c r="R13" s="60" t="n"/>
      <c r="S13" s="60" t="n"/>
    </row>
    <row r="14" ht="15" customHeight="1">
      <c r="A14" s="70" t="n">
        <v>7</v>
      </c>
      <c r="B14" s="71" t="inlineStr">
        <is>
          <t>Bel Collections</t>
        </is>
      </c>
      <c r="C14" s="70" t="inlineStr">
        <is>
          <t>B00003</t>
        </is>
      </c>
      <c r="D14" s="71" t="inlineStr">
        <is>
          <t>Amber Bel oud</t>
        </is>
      </c>
      <c r="E14" s="70" t="n">
        <v>3</v>
      </c>
      <c r="F14" s="72">
        <f>SUM(I14:O14)</f>
        <v/>
      </c>
      <c r="G14" s="72">
        <f>SUM(J14:P14)</f>
        <v/>
      </c>
      <c r="H14" s="73">
        <f>IFERROR(IF(G14&gt;0,F14/G14,"-"),"-")</f>
        <v/>
      </c>
      <c r="I14" s="74" t="n">
        <v>2</v>
      </c>
      <c r="J14" s="74">
        <f>IFERROR(IF(I14&gt;0,H14/I14,"-"),"-")</f>
        <v/>
      </c>
      <c r="K14" s="75" t="n">
        <v>1</v>
      </c>
      <c r="L14" s="74" t="n">
        <v>1</v>
      </c>
      <c r="M14" s="74">
        <f>IFERROR(IF(L14&gt;0,K14/L14,"-"),"-")</f>
        <v/>
      </c>
      <c r="N14" s="75" t="n">
        <v>1</v>
      </c>
      <c r="O14" s="74" t="n">
        <v>2</v>
      </c>
      <c r="P14" s="74">
        <f>IFERROR(IF(O14&gt;0,N14/O14,"-"),"-")</f>
        <v/>
      </c>
      <c r="Q14" s="75" t="n">
        <v>0</v>
      </c>
      <c r="R14" s="60" t="n"/>
      <c r="S14" s="60" t="n"/>
    </row>
    <row r="15" ht="15" customHeight="1">
      <c r="A15" s="70" t="n">
        <v>8</v>
      </c>
      <c r="B15" s="71" t="inlineStr">
        <is>
          <t>Bel Collections</t>
        </is>
      </c>
      <c r="C15" s="70" t="inlineStr">
        <is>
          <t>B00004</t>
        </is>
      </c>
      <c r="D15" s="71" t="inlineStr">
        <is>
          <t>Meydan</t>
        </is>
      </c>
      <c r="E15" s="70" t="n">
        <v>2</v>
      </c>
      <c r="F15" s="72">
        <f>SUM(I15:O15)</f>
        <v/>
      </c>
      <c r="G15" s="72">
        <f>SUM(J15:P15)</f>
        <v/>
      </c>
      <c r="H15" s="73">
        <f>IFERROR(IF(G15&gt;0,F15/G15,"-"),"-")</f>
        <v/>
      </c>
      <c r="I15" s="74" t="n">
        <v>13</v>
      </c>
      <c r="J15" s="74">
        <f>IFERROR(IF(I15&gt;0,H15/I15,"-"),"-")</f>
        <v/>
      </c>
      <c r="K15" s="75" t="n">
        <v>2</v>
      </c>
      <c r="L15" s="74" t="n">
        <v>17</v>
      </c>
      <c r="M15" s="74">
        <f>IFERROR(IF(L15&gt;0,K15/L15,"-"),"-")</f>
        <v/>
      </c>
      <c r="N15" s="75" t="n">
        <v>2</v>
      </c>
      <c r="O15" s="74" t="n">
        <v>20</v>
      </c>
      <c r="P15" s="74">
        <f>IFERROR(IF(O15&gt;0,N15/O15,"-"),"-")</f>
        <v/>
      </c>
      <c r="Q15" s="75" t="n">
        <v>1</v>
      </c>
      <c r="R15" s="60" t="n"/>
      <c r="S15" s="60" t="n"/>
    </row>
    <row r="16" ht="15" customHeight="1">
      <c r="A16" s="70" t="n">
        <v>9</v>
      </c>
      <c r="B16" s="71" t="inlineStr">
        <is>
          <t>Bel Collections</t>
        </is>
      </c>
      <c r="C16" s="70" t="inlineStr">
        <is>
          <t>B00005</t>
        </is>
      </c>
      <c r="D16" s="71" t="inlineStr">
        <is>
          <t>Mystery</t>
        </is>
      </c>
      <c r="E16" s="70" t="n">
        <v>7</v>
      </c>
      <c r="F16" s="72">
        <f>SUM(I16:O16)</f>
        <v/>
      </c>
      <c r="G16" s="72">
        <f>SUM(J16:P16)</f>
        <v/>
      </c>
      <c r="H16" s="73">
        <f>IFERROR(IF(G16&gt;0,F16/G16,"-"),"-")</f>
        <v/>
      </c>
      <c r="I16" s="74" t="n">
        <v>97</v>
      </c>
      <c r="J16" s="74">
        <f>IFERROR(IF(I16&gt;0,H16/I16,"-"),"-")</f>
        <v/>
      </c>
      <c r="K16" s="75" t="n">
        <v>4</v>
      </c>
      <c r="L16" s="74" t="n">
        <v>65</v>
      </c>
      <c r="M16" s="74">
        <f>IFERROR(IF(L16&gt;0,K16/L16,"-"),"-")</f>
        <v/>
      </c>
      <c r="N16" s="75" t="n">
        <v>9</v>
      </c>
      <c r="O16" s="74" t="n">
        <v>40</v>
      </c>
      <c r="P16" s="74">
        <f>IFERROR(IF(O16&gt;0,N16/O16,"-"),"-")</f>
        <v/>
      </c>
      <c r="Q16" s="75" t="n">
        <v>3</v>
      </c>
      <c r="R16" s="60" t="n"/>
      <c r="S16" s="60" t="n"/>
    </row>
    <row r="17" ht="15" customHeight="1">
      <c r="A17" s="70" t="n">
        <v>10</v>
      </c>
      <c r="B17" s="71" t="inlineStr">
        <is>
          <t>Bel Collections</t>
        </is>
      </c>
      <c r="C17" s="70" t="inlineStr">
        <is>
          <t>B00006</t>
        </is>
      </c>
      <c r="D17" s="71" t="inlineStr">
        <is>
          <t>Mersal</t>
        </is>
      </c>
      <c r="E17" s="70" t="n">
        <v>1</v>
      </c>
      <c r="F17" s="72">
        <f>SUM(I17:O17)</f>
        <v/>
      </c>
      <c r="G17" s="72">
        <f>SUM(J17:P17)</f>
        <v/>
      </c>
      <c r="H17" s="73">
        <f>IFERROR(IF(G17&gt;0,F17/G17,"-"),"-")</f>
        <v/>
      </c>
      <c r="I17" s="74" t="n">
        <v>1</v>
      </c>
      <c r="J17" s="74">
        <f>IFERROR(IF(I17&gt;0,H17/I17,"-"),"-")</f>
        <v/>
      </c>
      <c r="K17" s="75" t="n"/>
      <c r="L17" s="74" t="n">
        <v>2</v>
      </c>
      <c r="M17" s="74">
        <f>IFERROR(IF(L17&gt;0,K17/L17,"-"),"-")</f>
        <v/>
      </c>
      <c r="N17" s="75" t="n"/>
      <c r="O17" s="74" t="n">
        <v>5</v>
      </c>
      <c r="P17" s="74">
        <f>IFERROR(IF(O17&gt;0,N17/O17,"-"),"-")</f>
        <v/>
      </c>
      <c r="Q17" s="75" t="n">
        <v>1</v>
      </c>
      <c r="R17" s="60" t="n"/>
      <c r="S17" s="60" t="n"/>
    </row>
    <row r="18" ht="15" customHeight="1">
      <c r="A18" s="70" t="n">
        <v>11</v>
      </c>
      <c r="B18" s="71" t="inlineStr">
        <is>
          <t>Bel Collections</t>
        </is>
      </c>
      <c r="C18" s="70" t="inlineStr">
        <is>
          <t>B00007</t>
        </is>
      </c>
      <c r="D18" s="71" t="inlineStr">
        <is>
          <t>Peaceful Life</t>
        </is>
      </c>
      <c r="E18" s="70" t="n"/>
      <c r="F18" s="72">
        <f>SUM(I18:O18)</f>
        <v/>
      </c>
      <c r="G18" s="72">
        <f>SUM(J18:P18)</f>
        <v/>
      </c>
      <c r="H18" s="73">
        <f>IFERROR(IF(G18&gt;0,F18/G18,"-"),"-")</f>
        <v/>
      </c>
      <c r="I18" s="74" t="n">
        <v>1</v>
      </c>
      <c r="J18" s="74">
        <f>IFERROR(IF(I18&gt;0,H18/I18,"-"),"-")</f>
        <v/>
      </c>
      <c r="K18" s="75" t="n"/>
      <c r="L18" s="74" t="n">
        <v>2</v>
      </c>
      <c r="M18" s="74">
        <f>IFERROR(IF(L18&gt;0,K18/L18,"-"),"-")</f>
        <v/>
      </c>
      <c r="N18" s="75" t="n"/>
      <c r="O18" s="74" t="n">
        <v>1</v>
      </c>
      <c r="P18" s="74">
        <f>IFERROR(IF(O18&gt;0,N18/O18,"-"),"-")</f>
        <v/>
      </c>
      <c r="Q18" s="75" t="n">
        <v>3</v>
      </c>
      <c r="R18" s="60" t="n"/>
      <c r="S18" s="60" t="n"/>
    </row>
    <row r="19" ht="15" customHeight="1">
      <c r="A19" s="70" t="n">
        <v>12</v>
      </c>
      <c r="B19" s="71" t="inlineStr">
        <is>
          <t>Bel Collections</t>
        </is>
      </c>
      <c r="C19" s="70" t="inlineStr">
        <is>
          <t>B00008</t>
        </is>
      </c>
      <c r="D19" s="71" t="inlineStr">
        <is>
          <t>Midnight Glow</t>
        </is>
      </c>
      <c r="E19" s="70" t="n">
        <v>1</v>
      </c>
      <c r="F19" s="72">
        <f>SUM(I19:O19)</f>
        <v/>
      </c>
      <c r="G19" s="72">
        <f>SUM(J19:P19)</f>
        <v/>
      </c>
      <c r="H19" s="73">
        <f>IFERROR(IF(G19&gt;0,F19/G19,"-"),"-")</f>
        <v/>
      </c>
      <c r="I19" s="74" t="n">
        <v>4</v>
      </c>
      <c r="J19" s="74">
        <f>IFERROR(IF(I19&gt;0,H19/I19,"-"),"-")</f>
        <v/>
      </c>
      <c r="K19" s="75" t="n">
        <v>1</v>
      </c>
      <c r="L19" s="74" t="n">
        <v>64</v>
      </c>
      <c r="M19" s="74">
        <f>IFERROR(IF(L19&gt;0,K19/L19,"-"),"-")</f>
        <v/>
      </c>
      <c r="N19" s="75" t="n">
        <v>1</v>
      </c>
      <c r="O19" s="74" t="n">
        <v>3</v>
      </c>
      <c r="P19" s="74">
        <f>IFERROR(IF(O19&gt;0,N19/O19,"-"),"-")</f>
        <v/>
      </c>
      <c r="Q19" s="75" t="n">
        <v>3</v>
      </c>
      <c r="R19" s="60" t="n"/>
      <c r="S19" s="60" t="n"/>
    </row>
    <row r="20" ht="15" customHeight="1">
      <c r="A20" s="70" t="n">
        <v>13</v>
      </c>
      <c r="B20" s="71" t="inlineStr">
        <is>
          <t>Bel Collections</t>
        </is>
      </c>
      <c r="C20" s="70" t="inlineStr">
        <is>
          <t>B00010</t>
        </is>
      </c>
      <c r="D20" s="71" t="inlineStr">
        <is>
          <t>Sakura</t>
        </is>
      </c>
      <c r="E20" s="70" t="n">
        <v>6</v>
      </c>
      <c r="F20" s="72">
        <f>SUM(I20:O20)</f>
        <v/>
      </c>
      <c r="G20" s="72">
        <f>SUM(J20:P20)</f>
        <v/>
      </c>
      <c r="H20" s="73">
        <f>IFERROR(IF(G20&gt;0,F20/G20,"-"),"-")</f>
        <v/>
      </c>
      <c r="I20" s="74" t="n">
        <v>49</v>
      </c>
      <c r="J20" s="74">
        <f>IFERROR(IF(I20&gt;0,H20/I20,"-"),"-")</f>
        <v/>
      </c>
      <c r="K20" s="75" t="n">
        <v>8</v>
      </c>
      <c r="L20" s="74" t="n">
        <v>70</v>
      </c>
      <c r="M20" s="74">
        <f>IFERROR(IF(L20&gt;0,K20/L20,"-"),"-")</f>
        <v/>
      </c>
      <c r="N20" s="75" t="n">
        <v>4</v>
      </c>
      <c r="O20" s="74" t="n">
        <v>48</v>
      </c>
      <c r="P20" s="74">
        <f>IFERROR(IF(O20&gt;0,N20/O20,"-"),"-")</f>
        <v/>
      </c>
      <c r="Q20" s="75" t="n">
        <v>0</v>
      </c>
      <c r="R20" s="60" t="n"/>
      <c r="S20" s="60" t="n"/>
    </row>
    <row r="21" ht="15" customHeight="1">
      <c r="A21" s="70" t="n">
        <v>14</v>
      </c>
      <c r="B21" s="71" t="inlineStr">
        <is>
          <t>Bel Collections</t>
        </is>
      </c>
      <c r="C21" s="70" t="inlineStr">
        <is>
          <t>B00012</t>
        </is>
      </c>
      <c r="D21" s="71" t="inlineStr">
        <is>
          <t>Ambergris</t>
        </is>
      </c>
      <c r="E21" s="70" t="n">
        <v>2</v>
      </c>
      <c r="F21" s="72">
        <f>SUM(I21:O21)</f>
        <v/>
      </c>
      <c r="G21" s="72">
        <f>SUM(J21:P21)</f>
        <v/>
      </c>
      <c r="H21" s="73">
        <f>IFERROR(IF(G21&gt;0,F21/G21,"-"),"-")</f>
        <v/>
      </c>
      <c r="I21" s="74" t="n">
        <v>11</v>
      </c>
      <c r="J21" s="74">
        <f>IFERROR(IF(I21&gt;0,H21/I21,"-"),"-")</f>
        <v/>
      </c>
      <c r="K21" s="75" t="n">
        <v>1</v>
      </c>
      <c r="L21" s="74" t="n">
        <v>7</v>
      </c>
      <c r="M21" s="74">
        <f>IFERROR(IF(L21&gt;0,K21/L21,"-"),"-")</f>
        <v/>
      </c>
      <c r="N21" s="75" t="n"/>
      <c r="O21" s="74" t="n">
        <v>8</v>
      </c>
      <c r="P21" s="74">
        <f>IFERROR(IF(O21&gt;0,N21/O21,"-"),"-")</f>
        <v/>
      </c>
      <c r="Q21" s="75" t="n">
        <v>0</v>
      </c>
      <c r="R21" s="60" t="n"/>
      <c r="S21" s="60" t="n"/>
    </row>
    <row r="22" ht="15" customHeight="1">
      <c r="A22" s="70" t="n">
        <v>15</v>
      </c>
      <c r="B22" s="71" t="inlineStr">
        <is>
          <t>Bel Collections</t>
        </is>
      </c>
      <c r="C22" s="70" t="inlineStr">
        <is>
          <t>B00014</t>
        </is>
      </c>
      <c r="D22" s="71" t="inlineStr">
        <is>
          <t>Firewood</t>
        </is>
      </c>
      <c r="E22" s="70" t="n">
        <v>4</v>
      </c>
      <c r="F22" s="72">
        <f>SUM(I22:O22)</f>
        <v/>
      </c>
      <c r="G22" s="72">
        <f>SUM(J22:P22)</f>
        <v/>
      </c>
      <c r="H22" s="73">
        <f>IFERROR(IF(G22&gt;0,F22/G22,"-"),"-")</f>
        <v/>
      </c>
      <c r="I22" s="74" t="n">
        <v>17</v>
      </c>
      <c r="J22" s="74">
        <f>IFERROR(IF(I22&gt;0,H22/I22,"-"),"-")</f>
        <v/>
      </c>
      <c r="K22" s="75" t="n">
        <v>2</v>
      </c>
      <c r="L22" s="74" t="n">
        <v>13</v>
      </c>
      <c r="M22" s="74">
        <f>IFERROR(IF(L22&gt;0,K22/L22,"-"),"-")</f>
        <v/>
      </c>
      <c r="N22" s="75" t="n">
        <v>1</v>
      </c>
      <c r="O22" s="74" t="n">
        <v>8</v>
      </c>
      <c r="P22" s="74">
        <f>IFERROR(IF(O22&gt;0,N22/O22,"-"),"-")</f>
        <v/>
      </c>
      <c r="Q22" s="75" t="n">
        <v>0</v>
      </c>
      <c r="R22" s="60" t="n"/>
      <c r="S22" s="60" t="n"/>
    </row>
    <row r="23" ht="15" customHeight="1">
      <c r="A23" s="70" t="n">
        <v>16</v>
      </c>
      <c r="B23" s="71" t="inlineStr">
        <is>
          <t>Bel Collections</t>
        </is>
      </c>
      <c r="C23" s="70" t="inlineStr">
        <is>
          <t>B00015</t>
        </is>
      </c>
      <c r="D23" s="71" t="inlineStr">
        <is>
          <t>Hidden Leather</t>
        </is>
      </c>
      <c r="E23" s="70" t="n">
        <v>2</v>
      </c>
      <c r="F23" s="72">
        <f>SUM(I23:O23)</f>
        <v/>
      </c>
      <c r="G23" s="72">
        <f>SUM(J23:P23)</f>
        <v/>
      </c>
      <c r="H23" s="73">
        <f>IFERROR(IF(G23&gt;0,F23/G23,"-"),"-")</f>
        <v/>
      </c>
      <c r="I23" s="74" t="n">
        <v>8</v>
      </c>
      <c r="J23" s="74">
        <f>IFERROR(IF(I23&gt;0,H23/I23,"-"),"-")</f>
        <v/>
      </c>
      <c r="K23" s="75" t="n">
        <v>2</v>
      </c>
      <c r="L23" s="74" t="n">
        <v>16</v>
      </c>
      <c r="M23" s="74">
        <f>IFERROR(IF(L23&gt;0,K23/L23,"-"),"-")</f>
        <v/>
      </c>
      <c r="N23" s="75" t="n">
        <v>2</v>
      </c>
      <c r="O23" s="74" t="n">
        <v>15</v>
      </c>
      <c r="P23" s="74">
        <f>IFERROR(IF(O23&gt;0,N23/O23,"-"),"-")</f>
        <v/>
      </c>
      <c r="Q23" s="75" t="n">
        <v>6</v>
      </c>
      <c r="R23" s="60" t="n"/>
      <c r="S23" s="60" t="n"/>
    </row>
    <row r="24" ht="15" customHeight="1">
      <c r="A24" s="70" t="n">
        <v>17</v>
      </c>
      <c r="B24" s="71" t="inlineStr">
        <is>
          <t>Bel Collections</t>
        </is>
      </c>
      <c r="C24" s="70" t="inlineStr">
        <is>
          <t>B00016</t>
        </is>
      </c>
      <c r="D24" s="71" t="inlineStr">
        <is>
          <t>Mysterious Rose</t>
        </is>
      </c>
      <c r="E24" s="70" t="n">
        <v>5</v>
      </c>
      <c r="F24" s="72">
        <f>SUM(I24:O24)</f>
        <v/>
      </c>
      <c r="G24" s="72">
        <f>SUM(J24:P24)</f>
        <v/>
      </c>
      <c r="H24" s="73">
        <f>IFERROR(IF(G24&gt;0,F24/G24,"-"),"-")</f>
        <v/>
      </c>
      <c r="I24" s="74" t="n">
        <v>28</v>
      </c>
      <c r="J24" s="74">
        <f>IFERROR(IF(I24&gt;0,H24/I24,"-"),"-")</f>
        <v/>
      </c>
      <c r="K24" s="75" t="n">
        <v>2</v>
      </c>
      <c r="L24" s="74" t="n">
        <v>20</v>
      </c>
      <c r="M24" s="74">
        <f>IFERROR(IF(L24&gt;0,K24/L24,"-"),"-")</f>
        <v/>
      </c>
      <c r="N24" s="75" t="n">
        <v>4</v>
      </c>
      <c r="O24" s="74" t="n">
        <v>12</v>
      </c>
      <c r="P24" s="74">
        <f>IFERROR(IF(O24&gt;0,N24/O24,"-"),"-")</f>
        <v/>
      </c>
      <c r="Q24" s="75" t="n">
        <v>1</v>
      </c>
      <c r="R24" s="60" t="n"/>
      <c r="S24" s="60" t="n"/>
    </row>
    <row r="25" ht="15" customHeight="1">
      <c r="A25" s="70" t="n">
        <v>18</v>
      </c>
      <c r="B25" s="71" t="inlineStr">
        <is>
          <t>Bel Collections</t>
        </is>
      </c>
      <c r="C25" s="70" t="inlineStr">
        <is>
          <t>B00017</t>
        </is>
      </c>
      <c r="D25" s="71" t="inlineStr">
        <is>
          <t>Thekrayat</t>
        </is>
      </c>
      <c r="E25" s="70" t="n">
        <v>4</v>
      </c>
      <c r="F25" s="72">
        <f>SUM(I25:O25)</f>
        <v/>
      </c>
      <c r="G25" s="72">
        <f>SUM(J25:P25)</f>
        <v/>
      </c>
      <c r="H25" s="73">
        <f>IFERROR(IF(G25&gt;0,F25/G25,"-"),"-")</f>
        <v/>
      </c>
      <c r="I25" s="74" t="n">
        <v>39</v>
      </c>
      <c r="J25" s="74">
        <f>IFERROR(IF(I25&gt;0,H25/I25,"-"),"-")</f>
        <v/>
      </c>
      <c r="K25" s="75" t="n">
        <v>3</v>
      </c>
      <c r="L25" s="74" t="n">
        <v>22</v>
      </c>
      <c r="M25" s="74">
        <f>IFERROR(IF(L25&gt;0,K25/L25,"-"),"-")</f>
        <v/>
      </c>
      <c r="N25" s="75" t="n">
        <v>11</v>
      </c>
      <c r="O25" s="74" t="n">
        <v>22</v>
      </c>
      <c r="P25" s="74">
        <f>IFERROR(IF(O25&gt;0,N25/O25,"-"),"-")</f>
        <v/>
      </c>
      <c r="Q25" s="75" t="n">
        <v>3</v>
      </c>
      <c r="R25" s="60" t="n"/>
      <c r="S25" s="60" t="n"/>
    </row>
    <row r="26" ht="15" customHeight="1">
      <c r="A26" s="70" t="n">
        <v>19</v>
      </c>
      <c r="B26" s="71" t="inlineStr">
        <is>
          <t>Bel Collections</t>
        </is>
      </c>
      <c r="C26" s="70" t="inlineStr">
        <is>
          <t>B00018</t>
        </is>
      </c>
      <c r="D26" s="71" t="inlineStr">
        <is>
          <t>Hidden Tobacco</t>
        </is>
      </c>
      <c r="E26" s="70" t="n">
        <v>12</v>
      </c>
      <c r="F26" s="72">
        <f>SUM(I26:O26)</f>
        <v/>
      </c>
      <c r="G26" s="72">
        <f>SUM(J26:P26)</f>
        <v/>
      </c>
      <c r="H26" s="73">
        <f>IFERROR(IF(G26&gt;0,F26/G26,"-"),"-")</f>
        <v/>
      </c>
      <c r="I26" s="74" t="n">
        <v>83</v>
      </c>
      <c r="J26" s="74">
        <f>IFERROR(IF(I26&gt;0,H26/I26,"-"),"-")</f>
        <v/>
      </c>
      <c r="K26" s="75" t="n">
        <v>5</v>
      </c>
      <c r="L26" s="74" t="n">
        <v>56</v>
      </c>
      <c r="M26" s="74">
        <f>IFERROR(IF(L26&gt;0,K26/L26,"-"),"-")</f>
        <v/>
      </c>
      <c r="N26" s="75" t="n">
        <v>9</v>
      </c>
      <c r="O26" s="74" t="n">
        <v>43</v>
      </c>
      <c r="P26" s="74">
        <f>IFERROR(IF(O26&gt;0,N26/O26,"-"),"-")</f>
        <v/>
      </c>
      <c r="Q26" s="75" t="n">
        <v>4</v>
      </c>
      <c r="R26" s="60" t="n"/>
      <c r="S26" s="60" t="n"/>
    </row>
    <row r="27" ht="15" customHeight="1">
      <c r="A27" s="70" t="n">
        <v>20</v>
      </c>
      <c r="B27" s="71" t="inlineStr">
        <is>
          <t>Bel Collections</t>
        </is>
      </c>
      <c r="C27" s="70" t="inlineStr">
        <is>
          <t>B00019</t>
        </is>
      </c>
      <c r="D27" s="71" t="inlineStr">
        <is>
          <t>Masters Perfume 100ml</t>
        </is>
      </c>
      <c r="E27" s="70" t="n">
        <v>1</v>
      </c>
      <c r="F27" s="72">
        <f>SUM(I27:O27)</f>
        <v/>
      </c>
      <c r="G27" s="72">
        <f>SUM(J27:P27)</f>
        <v/>
      </c>
      <c r="H27" s="73">
        <f>IFERROR(IF(G27&gt;0,F27/G27,"-"),"-")</f>
        <v/>
      </c>
      <c r="I27" s="74" t="n"/>
      <c r="J27" s="74">
        <f>IFERROR(IF(I27&gt;0,H27/I27,"-"),"-")</f>
        <v/>
      </c>
      <c r="K27" s="75" t="n"/>
      <c r="L27" s="74" t="n"/>
      <c r="M27" s="74">
        <f>IFERROR(IF(L27&gt;0,K27/L27,"-"),"-")</f>
        <v/>
      </c>
      <c r="N27" s="75" t="n">
        <v>2</v>
      </c>
      <c r="O27" s="74" t="n"/>
      <c r="P27" s="74">
        <f>IFERROR(IF(O27&gt;0,N27/O27,"-"),"-")</f>
        <v/>
      </c>
      <c r="Q27" s="75" t="n">
        <v>4</v>
      </c>
      <c r="R27" s="60" t="n"/>
      <c r="S27" s="60" t="n"/>
    </row>
    <row r="28" ht="15" customHeight="1">
      <c r="A28" s="70" t="n">
        <v>21</v>
      </c>
      <c r="B28" s="71" t="inlineStr">
        <is>
          <t>Bel Collections</t>
        </is>
      </c>
      <c r="C28" s="70" t="inlineStr">
        <is>
          <t>B00020</t>
        </is>
      </c>
      <c r="D28" s="71" t="inlineStr">
        <is>
          <t>Masters Signature 100ml Perfume - Tester</t>
        </is>
      </c>
      <c r="E28" s="70" t="n"/>
      <c r="F28" s="72">
        <f>SUM(I28:O28)</f>
        <v/>
      </c>
      <c r="G28" s="72">
        <f>SUM(J28:P28)</f>
        <v/>
      </c>
      <c r="H28" s="73">
        <f>IFERROR(IF(G28&gt;0,F28/G28,"-"),"-")</f>
        <v/>
      </c>
      <c r="I28" s="74" t="n"/>
      <c r="J28" s="74">
        <f>IFERROR(IF(I28&gt;0,H28/I28,"-"),"-")</f>
        <v/>
      </c>
      <c r="K28" s="75" t="n"/>
      <c r="L28" s="74" t="n"/>
      <c r="M28" s="74">
        <f>IFERROR(IF(L28&gt;0,K28/L28,"-"),"-")</f>
        <v/>
      </c>
      <c r="N28" s="75" t="n"/>
      <c r="O28" s="74" t="n"/>
      <c r="P28" s="74">
        <f>IFERROR(IF(O28&gt;0,N28/O28,"-"),"-")</f>
        <v/>
      </c>
      <c r="Q28" s="75" t="n">
        <v>6</v>
      </c>
      <c r="R28" s="60" t="n"/>
      <c r="S28" s="60" t="n"/>
    </row>
    <row r="29" ht="15" customHeight="1">
      <c r="A29" s="70" t="n">
        <v>22</v>
      </c>
      <c r="B29" s="71" t="inlineStr">
        <is>
          <t>Bel Collections</t>
        </is>
      </c>
      <c r="C29" s="70" t="inlineStr">
        <is>
          <t>B00021</t>
        </is>
      </c>
      <c r="D29" s="71" t="inlineStr">
        <is>
          <t>Midnight Bloom 100 ML</t>
        </is>
      </c>
      <c r="E29" s="70" t="n"/>
      <c r="F29" s="72">
        <f>SUM(I29:O29)</f>
        <v/>
      </c>
      <c r="G29" s="72">
        <f>SUM(J29:P29)</f>
        <v/>
      </c>
      <c r="H29" s="73">
        <f>IFERROR(IF(G29&gt;0,F29/G29,"-"),"-")</f>
        <v/>
      </c>
      <c r="I29" s="74" t="n">
        <v>18</v>
      </c>
      <c r="J29" s="74">
        <f>IFERROR(IF(I29&gt;0,H29/I29,"-"),"-")</f>
        <v/>
      </c>
      <c r="K29" s="75" t="n"/>
      <c r="L29" s="74" t="n">
        <v>39</v>
      </c>
      <c r="M29" s="74">
        <f>IFERROR(IF(L29&gt;0,K29/L29,"-"),"-")</f>
        <v/>
      </c>
      <c r="N29" s="75" t="n"/>
      <c r="O29" s="74" t="n">
        <v>13</v>
      </c>
      <c r="P29" s="74">
        <f>IFERROR(IF(O29&gt;0,N29/O29,"-"),"-")</f>
        <v/>
      </c>
      <c r="Q29" s="75" t="n">
        <v>8</v>
      </c>
      <c r="R29" s="60" t="n"/>
      <c r="S29" s="60" t="n"/>
    </row>
    <row r="30" ht="15" customHeight="1">
      <c r="A30" s="76" t="inlineStr">
        <is>
          <t xml:space="preserve">  CABALLO COLLECTION</t>
        </is>
      </c>
      <c r="B30" s="77" t="n"/>
      <c r="C30" s="77" t="n"/>
      <c r="D30" s="77" t="n"/>
      <c r="E30" s="77" t="n">
        <v>2</v>
      </c>
      <c r="F30" s="72">
        <f>SUM(I30:O30)</f>
        <v/>
      </c>
      <c r="G30" s="72">
        <f>SUM(J30:P30)</f>
        <v/>
      </c>
      <c r="H30" s="73">
        <f>IFERROR(IF(G30&gt;0,F30/G30,"-"),"-")</f>
        <v/>
      </c>
      <c r="I30" s="74" t="n">
        <v>3</v>
      </c>
      <c r="J30" s="74">
        <f>IFERROR(IF(I30&gt;0,H30/I30,"-"),"-")</f>
        <v/>
      </c>
      <c r="K30" s="75" t="n"/>
      <c r="L30" s="74" t="n">
        <v>11</v>
      </c>
      <c r="M30" s="74">
        <f>IFERROR(IF(L30&gt;0,K30/L30,"-"),"-")</f>
        <v/>
      </c>
      <c r="N30" s="75" t="n"/>
      <c r="O30" s="74" t="n">
        <v>3</v>
      </c>
      <c r="P30" s="74">
        <f>IFERROR(IF(O30&gt;0,N30/O30,"-"),"-")</f>
        <v/>
      </c>
      <c r="Q30" s="75" t="n"/>
      <c r="R30" s="59" t="n"/>
      <c r="S30" s="59" t="n"/>
    </row>
    <row r="31" ht="15" customHeight="1">
      <c r="A31" s="70" t="n">
        <v>23</v>
      </c>
      <c r="B31" s="71" t="inlineStr">
        <is>
          <t>Caballo Collection</t>
        </is>
      </c>
      <c r="C31" s="70" t="inlineStr">
        <is>
          <t>C00004</t>
        </is>
      </c>
      <c r="D31" s="71" t="inlineStr">
        <is>
          <t>Maroon Perfume 100 ML</t>
        </is>
      </c>
      <c r="E31" s="70" t="n">
        <v>2</v>
      </c>
      <c r="F31" s="72">
        <f>SUM(I31:O31)</f>
        <v/>
      </c>
      <c r="G31" s="72">
        <f>SUM(J31:P31)</f>
        <v/>
      </c>
      <c r="H31" s="73">
        <f>IFERROR(IF(G31&gt;0,F31/G31,"-"),"-")</f>
        <v/>
      </c>
      <c r="I31" s="74" t="n">
        <v>3</v>
      </c>
      <c r="J31" s="74">
        <f>IFERROR(IF(I31&gt;0,H31/I31,"-"),"-")</f>
        <v/>
      </c>
      <c r="K31" s="75" t="n"/>
      <c r="L31" s="74" t="n">
        <v>2</v>
      </c>
      <c r="M31" s="74">
        <f>IFERROR(IF(L31&gt;0,K31/L31,"-"),"-")</f>
        <v/>
      </c>
      <c r="N31" s="75" t="n"/>
      <c r="O31" s="74" t="n">
        <v>5</v>
      </c>
      <c r="P31" s="74">
        <f>IFERROR(IF(O31&gt;0,N31/O31,"-"),"-")</f>
        <v/>
      </c>
      <c r="Q31" s="75" t="n">
        <v>0</v>
      </c>
      <c r="R31" s="60" t="n"/>
      <c r="S31" s="60" t="n"/>
    </row>
    <row r="32" ht="15" customHeight="1">
      <c r="A32" s="70" t="n">
        <v>24</v>
      </c>
      <c r="B32" s="71" t="inlineStr">
        <is>
          <t>Caballo Collection</t>
        </is>
      </c>
      <c r="C32" s="70" t="inlineStr">
        <is>
          <t>C00010</t>
        </is>
      </c>
      <c r="D32" s="71" t="inlineStr">
        <is>
          <t>Maroon Intense</t>
        </is>
      </c>
      <c r="E32" s="70" t="n"/>
      <c r="F32" s="72">
        <f>SUM(I32:O32)</f>
        <v/>
      </c>
      <c r="G32" s="72">
        <f>SUM(J32:P32)</f>
        <v/>
      </c>
      <c r="H32" s="73">
        <f>IFERROR(IF(G32&gt;0,F32/G32,"-"),"-")</f>
        <v/>
      </c>
      <c r="I32" s="74" t="n">
        <v>1</v>
      </c>
      <c r="J32" s="74">
        <f>IFERROR(IF(I32&gt;0,H32/I32,"-"),"-")</f>
        <v/>
      </c>
      <c r="K32" s="75" t="n"/>
      <c r="L32" s="74" t="n">
        <v>3</v>
      </c>
      <c r="M32" s="74">
        <f>IFERROR(IF(L32&gt;0,K32/L32,"-"),"-")</f>
        <v/>
      </c>
      <c r="N32" s="75" t="n"/>
      <c r="O32" s="74" t="n">
        <v>2</v>
      </c>
      <c r="P32" s="74">
        <f>IFERROR(IF(O32&gt;0,N32/O32,"-"),"-")</f>
        <v/>
      </c>
      <c r="Q32" s="75" t="n">
        <v>0</v>
      </c>
      <c r="R32" s="60" t="n"/>
      <c r="S32" s="60" t="n"/>
    </row>
    <row r="33" ht="15" customHeight="1">
      <c r="A33" s="70" t="n">
        <v>25</v>
      </c>
      <c r="B33" s="71" t="inlineStr">
        <is>
          <t>Caballo Collection</t>
        </is>
      </c>
      <c r="C33" s="70" t="inlineStr">
        <is>
          <t>C00011</t>
        </is>
      </c>
      <c r="D33" s="71" t="inlineStr">
        <is>
          <t>Violet Perfume 100ml</t>
        </is>
      </c>
      <c r="E33" s="70" t="n"/>
      <c r="F33" s="72">
        <f>SUM(I33:O33)</f>
        <v/>
      </c>
      <c r="G33" s="72">
        <f>SUM(J33:P33)</f>
        <v/>
      </c>
      <c r="H33" s="73">
        <f>IFERROR(IF(G33&gt;0,F33/G33,"-"),"-")</f>
        <v/>
      </c>
      <c r="I33" s="74" t="n"/>
      <c r="J33" s="74">
        <f>IFERROR(IF(I33&gt;0,H33/I33,"-"),"-")</f>
        <v/>
      </c>
      <c r="K33" s="75" t="n"/>
      <c r="L33" s="74" t="n"/>
      <c r="M33" s="74">
        <f>IFERROR(IF(L33&gt;0,K33/L33,"-"),"-")</f>
        <v/>
      </c>
      <c r="N33" s="75" t="n"/>
      <c r="O33" s="74" t="n"/>
      <c r="P33" s="74">
        <f>IFERROR(IF(O33&gt;0,N33/O33,"-"),"-")</f>
        <v/>
      </c>
      <c r="Q33" s="75" t="n">
        <v>0</v>
      </c>
      <c r="R33" s="60" t="n"/>
      <c r="S33" s="60" t="n"/>
    </row>
    <row r="34" ht="15" customHeight="1">
      <c r="A34" s="70" t="n">
        <v>26</v>
      </c>
      <c r="B34" s="71" t="inlineStr">
        <is>
          <t>Caballo Collection</t>
        </is>
      </c>
      <c r="C34" s="70" t="inlineStr">
        <is>
          <t>C00012</t>
        </is>
      </c>
      <c r="D34" s="71" t="inlineStr">
        <is>
          <t>Navy Perfume 100ml</t>
        </is>
      </c>
      <c r="E34" s="70" t="n">
        <v>1</v>
      </c>
      <c r="F34" s="72">
        <f>SUM(I34:O34)</f>
        <v/>
      </c>
      <c r="G34" s="72">
        <f>SUM(J34:P34)</f>
        <v/>
      </c>
      <c r="H34" s="73">
        <f>IFERROR(IF(G34&gt;0,F34/G34,"-"),"-")</f>
        <v/>
      </c>
      <c r="I34" s="74" t="n">
        <v>5</v>
      </c>
      <c r="J34" s="74">
        <f>IFERROR(IF(I34&gt;0,H34/I34,"-"),"-")</f>
        <v/>
      </c>
      <c r="K34" s="75" t="n">
        <v>1</v>
      </c>
      <c r="L34" s="74" t="n">
        <v>2</v>
      </c>
      <c r="M34" s="74">
        <f>IFERROR(IF(L34&gt;0,K34/L34,"-"),"-")</f>
        <v/>
      </c>
      <c r="N34" s="75" t="n">
        <v>1</v>
      </c>
      <c r="O34" s="74" t="n">
        <v>2</v>
      </c>
      <c r="P34" s="74">
        <f>IFERROR(IF(O34&gt;0,N34/O34,"-"),"-")</f>
        <v/>
      </c>
      <c r="Q34" s="75" t="n">
        <v>0</v>
      </c>
      <c r="R34" s="60" t="n"/>
      <c r="S34" s="60" t="n"/>
    </row>
    <row r="35" ht="15" customHeight="1">
      <c r="A35" s="70" t="n">
        <v>27</v>
      </c>
      <c r="B35" s="71" t="inlineStr">
        <is>
          <t>Caballo Collection</t>
        </is>
      </c>
      <c r="C35" s="70" t="inlineStr">
        <is>
          <t>C00013</t>
        </is>
      </c>
      <c r="D35" s="71" t="inlineStr">
        <is>
          <t>White Overdose Perfume 100ml</t>
        </is>
      </c>
      <c r="E35" s="70" t="n"/>
      <c r="F35" s="72">
        <f>SUM(I35:O35)</f>
        <v/>
      </c>
      <c r="G35" s="72">
        <f>SUM(J35:P35)</f>
        <v/>
      </c>
      <c r="H35" s="73">
        <f>IFERROR(IF(G35&gt;0,F35/G35,"-"),"-")</f>
        <v/>
      </c>
      <c r="I35" s="74" t="n">
        <v>2</v>
      </c>
      <c r="J35" s="74">
        <f>IFERROR(IF(I35&gt;0,H35/I35,"-"),"-")</f>
        <v/>
      </c>
      <c r="K35" s="75" t="n"/>
      <c r="L35" s="74" t="n">
        <v>3</v>
      </c>
      <c r="M35" s="74">
        <f>IFERROR(IF(L35&gt;0,K35/L35,"-"),"-")</f>
        <v/>
      </c>
      <c r="N35" s="75" t="n"/>
      <c r="O35" s="74" t="n">
        <v>5</v>
      </c>
      <c r="P35" s="74">
        <f>IFERROR(IF(O35&gt;0,N35/O35,"-"),"-")</f>
        <v/>
      </c>
      <c r="Q35" s="75" t="n">
        <v>2</v>
      </c>
      <c r="R35" s="60" t="n"/>
      <c r="S35" s="60" t="n"/>
    </row>
    <row r="36" ht="15" customHeight="1">
      <c r="A36" s="76" t="inlineStr">
        <is>
          <t xml:space="preserve">  DAKHOON COLLECTION</t>
        </is>
      </c>
      <c r="B36" s="77" t="n"/>
      <c r="C36" s="77" t="n"/>
      <c r="D36" s="77" t="n"/>
      <c r="E36" s="77" t="n">
        <v>1</v>
      </c>
      <c r="F36" s="72">
        <f>SUM(I36:O36)</f>
        <v/>
      </c>
      <c r="G36" s="72">
        <f>SUM(J36:P36)</f>
        <v/>
      </c>
      <c r="H36" s="73">
        <f>IFERROR(IF(G36&gt;0,F36/G36,"-"),"-")</f>
        <v/>
      </c>
      <c r="I36" s="74" t="n">
        <v>28</v>
      </c>
      <c r="J36" s="74">
        <f>IFERROR(IF(I36&gt;0,H36/I36,"-"),"-")</f>
        <v/>
      </c>
      <c r="K36" s="75" t="n">
        <v>1</v>
      </c>
      <c r="L36" s="74" t="n">
        <v>30</v>
      </c>
      <c r="M36" s="74">
        <f>IFERROR(IF(L36&gt;0,K36/L36,"-"),"-")</f>
        <v/>
      </c>
      <c r="N36" s="75" t="n">
        <v>3</v>
      </c>
      <c r="O36" s="74" t="n">
        <v>15</v>
      </c>
      <c r="P36" s="74">
        <f>IFERROR(IF(O36&gt;0,N36/O36,"-"),"-")</f>
        <v/>
      </c>
      <c r="Q36" s="75" t="n"/>
      <c r="R36" s="59" t="n"/>
      <c r="S36" s="59" t="n"/>
    </row>
    <row r="37" ht="15" customHeight="1">
      <c r="A37" s="70" t="n">
        <v>28</v>
      </c>
      <c r="B37" s="71" t="inlineStr">
        <is>
          <t>Dakhoon Collection</t>
        </is>
      </c>
      <c r="C37" s="70" t="inlineStr">
        <is>
          <t>D00001</t>
        </is>
      </c>
      <c r="D37" s="71" t="inlineStr">
        <is>
          <t>Dakhoon Al Emarat</t>
        </is>
      </c>
      <c r="E37" s="70" t="n"/>
      <c r="F37" s="72">
        <f>SUM(I37:O37)</f>
        <v/>
      </c>
      <c r="G37" s="72">
        <f>SUM(J37:P37)</f>
        <v/>
      </c>
      <c r="H37" s="73">
        <f>IFERROR(IF(G37&gt;0,F37/G37,"-"),"-")</f>
        <v/>
      </c>
      <c r="I37" s="74" t="n">
        <v>5</v>
      </c>
      <c r="J37" s="74">
        <f>IFERROR(IF(I37&gt;0,H37/I37,"-"),"-")</f>
        <v/>
      </c>
      <c r="K37" s="75" t="n"/>
      <c r="L37" s="74" t="n"/>
      <c r="M37" s="74">
        <f>IFERROR(IF(L37&gt;0,K37/L37,"-"),"-")</f>
        <v/>
      </c>
      <c r="N37" s="75" t="n">
        <v>2</v>
      </c>
      <c r="O37" s="74" t="n">
        <v>5</v>
      </c>
      <c r="P37" s="74">
        <f>IFERROR(IF(O37&gt;0,N37/O37,"-"),"-")</f>
        <v/>
      </c>
      <c r="Q37" s="75" t="n">
        <v>3</v>
      </c>
      <c r="R37" s="60" t="n"/>
      <c r="S37" s="60" t="n"/>
    </row>
    <row r="38" ht="15" customHeight="1">
      <c r="A38" s="70" t="n">
        <v>29</v>
      </c>
      <c r="B38" s="71" t="inlineStr">
        <is>
          <t>Dakhoon Collection</t>
        </is>
      </c>
      <c r="C38" s="70" t="inlineStr">
        <is>
          <t>D00002</t>
        </is>
      </c>
      <c r="D38" s="71" t="inlineStr">
        <is>
          <t>Dakhoon Al Marasim</t>
        </is>
      </c>
      <c r="E38" s="70" t="n"/>
      <c r="F38" s="72">
        <f>SUM(I38:O38)</f>
        <v/>
      </c>
      <c r="G38" s="72">
        <f>SUM(J38:P38)</f>
        <v/>
      </c>
      <c r="H38" s="73">
        <f>IFERROR(IF(G38&gt;0,F38/G38,"-"),"-")</f>
        <v/>
      </c>
      <c r="I38" s="74" t="n">
        <v>7</v>
      </c>
      <c r="J38" s="74">
        <f>IFERROR(IF(I38&gt;0,H38/I38,"-"),"-")</f>
        <v/>
      </c>
      <c r="K38" s="75" t="n"/>
      <c r="L38" s="74" t="n">
        <v>4</v>
      </c>
      <c r="M38" s="74">
        <f>IFERROR(IF(L38&gt;0,K38/L38,"-"),"-")</f>
        <v/>
      </c>
      <c r="N38" s="75" t="n"/>
      <c r="O38" s="74" t="n">
        <v>4</v>
      </c>
      <c r="P38" s="74">
        <f>IFERROR(IF(O38&gt;0,N38/O38,"-"),"-")</f>
        <v/>
      </c>
      <c r="Q38" s="75" t="n">
        <v>0</v>
      </c>
      <c r="R38" s="60" t="n"/>
      <c r="S38" s="60" t="n"/>
    </row>
    <row r="39" ht="15" customHeight="1">
      <c r="A39" s="70" t="n">
        <v>30</v>
      </c>
      <c r="B39" s="71" t="inlineStr">
        <is>
          <t>Dakhoon Collection</t>
        </is>
      </c>
      <c r="C39" s="70" t="inlineStr">
        <is>
          <t>D00004</t>
        </is>
      </c>
      <c r="D39" s="71" t="inlineStr">
        <is>
          <t>Dakhoon Al Dar</t>
        </is>
      </c>
      <c r="E39" s="70" t="n">
        <v>2</v>
      </c>
      <c r="F39" s="72">
        <f>SUM(I39:O39)</f>
        <v/>
      </c>
      <c r="G39" s="72">
        <f>SUM(J39:P39)</f>
        <v/>
      </c>
      <c r="H39" s="73">
        <f>IFERROR(IF(G39&gt;0,F39/G39,"-"),"-")</f>
        <v/>
      </c>
      <c r="I39" s="74" t="n">
        <v>7</v>
      </c>
      <c r="J39" s="74">
        <f>IFERROR(IF(I39&gt;0,H39/I39,"-"),"-")</f>
        <v/>
      </c>
      <c r="K39" s="75" t="n"/>
      <c r="L39" s="74" t="n">
        <v>13</v>
      </c>
      <c r="M39" s="74">
        <f>IFERROR(IF(L39&gt;0,K39/L39,"-"),"-")</f>
        <v/>
      </c>
      <c r="N39" s="75" t="n">
        <v>1</v>
      </c>
      <c r="O39" s="74" t="n">
        <v>12</v>
      </c>
      <c r="P39" s="74">
        <f>IFERROR(IF(O39&gt;0,N39/O39,"-"),"-")</f>
        <v/>
      </c>
      <c r="Q39" s="75" t="n">
        <v>2</v>
      </c>
      <c r="R39" s="60" t="n"/>
      <c r="S39" s="60" t="n"/>
    </row>
    <row r="40" ht="15" customHeight="1">
      <c r="A40" s="70" t="n">
        <v>31</v>
      </c>
      <c r="B40" s="71" t="inlineStr">
        <is>
          <t>Dakhoon Collection</t>
        </is>
      </c>
      <c r="C40" s="70" t="inlineStr">
        <is>
          <t>D00005</t>
        </is>
      </c>
      <c r="D40" s="71" t="inlineStr">
        <is>
          <t>Dakhoon Al Barzah</t>
        </is>
      </c>
      <c r="E40" s="70" t="n"/>
      <c r="F40" s="72">
        <f>SUM(I40:O40)</f>
        <v/>
      </c>
      <c r="G40" s="72">
        <f>SUM(J40:P40)</f>
        <v/>
      </c>
      <c r="H40" s="73">
        <f>IFERROR(IF(G40&gt;0,F40/G40,"-"),"-")</f>
        <v/>
      </c>
      <c r="I40" s="74" t="n">
        <v>1</v>
      </c>
      <c r="J40" s="74">
        <f>IFERROR(IF(I40&gt;0,H40/I40,"-"),"-")</f>
        <v/>
      </c>
      <c r="K40" s="75" t="n"/>
      <c r="L40" s="74" t="n"/>
      <c r="M40" s="74">
        <f>IFERROR(IF(L40&gt;0,K40/L40,"-"),"-")</f>
        <v/>
      </c>
      <c r="N40" s="75" t="n">
        <v>1</v>
      </c>
      <c r="O40" s="74" t="n"/>
      <c r="P40" s="74">
        <f>IFERROR(IF(O40&gt;0,N40/O40,"-"),"-")</f>
        <v/>
      </c>
      <c r="Q40" s="75" t="n">
        <v>0</v>
      </c>
      <c r="R40" s="60" t="n"/>
      <c r="S40" s="60" t="n"/>
    </row>
    <row r="41" ht="15" customHeight="1">
      <c r="A41" s="70" t="n">
        <v>32</v>
      </c>
      <c r="B41" s="71" t="inlineStr">
        <is>
          <t>Dakhoon Collection</t>
        </is>
      </c>
      <c r="C41" s="70" t="inlineStr">
        <is>
          <t>D00008</t>
        </is>
      </c>
      <c r="D41" s="71" t="inlineStr">
        <is>
          <t>Dakhoon Retaj</t>
        </is>
      </c>
      <c r="E41" s="70" t="n">
        <v>1</v>
      </c>
      <c r="F41" s="72">
        <f>SUM(I41:O41)</f>
        <v/>
      </c>
      <c r="G41" s="72">
        <f>SUM(J41:P41)</f>
        <v/>
      </c>
      <c r="H41" s="73">
        <f>IFERROR(IF(G41&gt;0,F41/G41,"-"),"-")</f>
        <v/>
      </c>
      <c r="I41" s="74" t="n">
        <v>1</v>
      </c>
      <c r="J41" s="74">
        <f>IFERROR(IF(I41&gt;0,H41/I41,"-"),"-")</f>
        <v/>
      </c>
      <c r="K41" s="75" t="n">
        <v>1</v>
      </c>
      <c r="L41" s="74" t="n">
        <v>3</v>
      </c>
      <c r="M41" s="74">
        <f>IFERROR(IF(L41&gt;0,K41/L41,"-"),"-")</f>
        <v/>
      </c>
      <c r="N41" s="75" t="n"/>
      <c r="O41" s="74" t="n"/>
      <c r="P41" s="74">
        <f>IFERROR(IF(O41&gt;0,N41/O41,"-"),"-")</f>
        <v/>
      </c>
      <c r="Q41" s="75" t="n">
        <v>0</v>
      </c>
      <c r="R41" s="60" t="n"/>
      <c r="S41" s="60" t="n"/>
    </row>
    <row r="42" ht="15" customHeight="1">
      <c r="A42" s="76" t="inlineStr">
        <is>
          <t xml:space="preserve">  OUD COLLECTION</t>
        </is>
      </c>
      <c r="B42" s="77" t="n"/>
      <c r="C42" s="77" t="n"/>
      <c r="D42" s="77" t="n"/>
      <c r="E42" s="77" t="n"/>
      <c r="F42" s="72">
        <f>SUM(I42:O42)</f>
        <v/>
      </c>
      <c r="G42" s="72">
        <f>SUM(J42:P42)</f>
        <v/>
      </c>
      <c r="H42" s="73">
        <f>IFERROR(IF(G42&gt;0,F42/G42,"-"),"-")</f>
        <v/>
      </c>
      <c r="I42" s="74" t="n">
        <v>4</v>
      </c>
      <c r="J42" s="74">
        <f>IFERROR(IF(I42&gt;0,H42/I42,"-"),"-")</f>
        <v/>
      </c>
      <c r="K42" s="75" t="n"/>
      <c r="L42" s="74" t="n">
        <v>1</v>
      </c>
      <c r="M42" s="74">
        <f>IFERROR(IF(L42&gt;0,K42/L42,"-"),"-")</f>
        <v/>
      </c>
      <c r="N42" s="75" t="n"/>
      <c r="O42" s="74" t="n">
        <v>1</v>
      </c>
      <c r="P42" s="74">
        <f>IFERROR(IF(O42&gt;0,N42/O42,"-"),"-")</f>
        <v/>
      </c>
      <c r="Q42" s="75" t="n"/>
      <c r="R42" s="59" t="n"/>
      <c r="S42" s="59" t="n"/>
    </row>
    <row r="43" ht="15" customHeight="1">
      <c r="A43" s="70" t="n">
        <v>33</v>
      </c>
      <c r="B43" s="71" t="inlineStr">
        <is>
          <t>Oud Collection</t>
        </is>
      </c>
      <c r="C43" s="70" t="inlineStr">
        <is>
          <t>O00001</t>
        </is>
      </c>
      <c r="D43" s="71" t="inlineStr">
        <is>
          <t>Oud Amiri</t>
        </is>
      </c>
      <c r="E43" s="70" t="n"/>
      <c r="F43" s="72">
        <f>SUM(I43:O43)</f>
        <v/>
      </c>
      <c r="G43" s="72">
        <f>SUM(J43:P43)</f>
        <v/>
      </c>
      <c r="H43" s="73">
        <f>IFERROR(IF(G43&gt;0,F43/G43,"-"),"-")</f>
        <v/>
      </c>
      <c r="I43" s="74" t="n">
        <v>5</v>
      </c>
      <c r="J43" s="74">
        <f>IFERROR(IF(I43&gt;0,H43/I43,"-"),"-")</f>
        <v/>
      </c>
      <c r="K43" s="75" t="n"/>
      <c r="L43" s="74" t="n">
        <v>1</v>
      </c>
      <c r="M43" s="74">
        <f>IFERROR(IF(L43&gt;0,K43/L43,"-"),"-")</f>
        <v/>
      </c>
      <c r="N43" s="75" t="n"/>
      <c r="O43" s="74" t="n">
        <v>4</v>
      </c>
      <c r="P43" s="74">
        <f>IFERROR(IF(O43&gt;0,N43/O43,"-"),"-")</f>
        <v/>
      </c>
      <c r="Q43" s="75" t="n">
        <v>0</v>
      </c>
      <c r="R43" s="60" t="n"/>
      <c r="S43" s="60" t="n"/>
    </row>
    <row r="44" ht="15" customHeight="1">
      <c r="A44" s="70" t="n">
        <v>34</v>
      </c>
      <c r="B44" s="71" t="inlineStr">
        <is>
          <t>Oud Collection</t>
        </is>
      </c>
      <c r="C44" s="70" t="inlineStr">
        <is>
          <t>O00002</t>
        </is>
      </c>
      <c r="D44" s="71" t="inlineStr">
        <is>
          <t>Oud Meydan</t>
        </is>
      </c>
      <c r="E44" s="70" t="n"/>
      <c r="F44" s="72">
        <f>SUM(I44:O44)</f>
        <v/>
      </c>
      <c r="G44" s="72">
        <f>SUM(J44:P44)</f>
        <v/>
      </c>
      <c r="H44" s="73">
        <f>IFERROR(IF(G44&gt;0,F44/G44,"-"),"-")</f>
        <v/>
      </c>
      <c r="I44" s="74" t="n">
        <v>7</v>
      </c>
      <c r="J44" s="74">
        <f>IFERROR(IF(I44&gt;0,H44/I44,"-"),"-")</f>
        <v/>
      </c>
      <c r="K44" s="75" t="n"/>
      <c r="L44" s="74" t="n">
        <v>14</v>
      </c>
      <c r="M44" s="74">
        <f>IFERROR(IF(L44&gt;0,K44/L44,"-"),"-")</f>
        <v/>
      </c>
      <c r="N44" s="75" t="n"/>
      <c r="O44" s="74" t="n">
        <v>3</v>
      </c>
      <c r="P44" s="74">
        <f>IFERROR(IF(O44&gt;0,N44/O44,"-"),"-")</f>
        <v/>
      </c>
      <c r="Q44" s="75" t="n">
        <v>0</v>
      </c>
      <c r="R44" s="60" t="n"/>
      <c r="S44" s="60" t="n"/>
    </row>
    <row r="45" ht="15" customHeight="1">
      <c r="A45" s="70" t="n">
        <v>35</v>
      </c>
      <c r="B45" s="71" t="inlineStr">
        <is>
          <t>Oud Collection</t>
        </is>
      </c>
      <c r="C45" s="70" t="inlineStr">
        <is>
          <t>O00003</t>
        </is>
      </c>
      <c r="D45" s="71" t="inlineStr">
        <is>
          <t>Oud Al Emarat</t>
        </is>
      </c>
      <c r="E45" s="70" t="n"/>
      <c r="F45" s="72">
        <f>SUM(I45:O45)</f>
        <v/>
      </c>
      <c r="G45" s="72">
        <f>SUM(J45:P45)</f>
        <v/>
      </c>
      <c r="H45" s="73">
        <f>IFERROR(IF(G45&gt;0,F45/G45,"-"),"-")</f>
        <v/>
      </c>
      <c r="I45" s="74" t="n">
        <v>6</v>
      </c>
      <c r="J45" s="74">
        <f>IFERROR(IF(I45&gt;0,H45/I45,"-"),"-")</f>
        <v/>
      </c>
      <c r="K45" s="75" t="n">
        <v>1</v>
      </c>
      <c r="L45" s="74" t="n">
        <v>6</v>
      </c>
      <c r="M45" s="74">
        <f>IFERROR(IF(L45&gt;0,K45/L45,"-"),"-")</f>
        <v/>
      </c>
      <c r="N45" s="75" t="n"/>
      <c r="O45" s="74" t="n">
        <v>2</v>
      </c>
      <c r="P45" s="74">
        <f>IFERROR(IF(O45&gt;0,N45/O45,"-"),"-")</f>
        <v/>
      </c>
      <c r="Q45" s="75" t="n">
        <v>1</v>
      </c>
      <c r="R45" s="60" t="n"/>
      <c r="S45" s="60" t="n"/>
    </row>
    <row r="46" ht="15" customHeight="1">
      <c r="A46" s="70" t="n">
        <v>36</v>
      </c>
      <c r="B46" s="71" t="inlineStr">
        <is>
          <t>Oud Collection</t>
        </is>
      </c>
      <c r="C46" s="70" t="inlineStr">
        <is>
          <t>O00006</t>
        </is>
      </c>
      <c r="D46" s="71" t="inlineStr">
        <is>
          <t>Oud Al Fakhamah</t>
        </is>
      </c>
      <c r="E46" s="70" t="n"/>
      <c r="F46" s="72">
        <f>SUM(I46:O46)</f>
        <v/>
      </c>
      <c r="G46" s="72">
        <f>SUM(J46:P46)</f>
        <v/>
      </c>
      <c r="H46" s="73">
        <f>IFERROR(IF(G46&gt;0,F46/G46,"-"),"-")</f>
        <v/>
      </c>
      <c r="I46" s="74" t="n">
        <v>8</v>
      </c>
      <c r="J46" s="74">
        <f>IFERROR(IF(I46&gt;0,H46/I46,"-"),"-")</f>
        <v/>
      </c>
      <c r="K46" s="75" t="n"/>
      <c r="L46" s="74" t="n">
        <v>2</v>
      </c>
      <c r="M46" s="74">
        <f>IFERROR(IF(L46&gt;0,K46/L46,"-"),"-")</f>
        <v/>
      </c>
      <c r="N46" s="75" t="n"/>
      <c r="O46" s="74" t="n">
        <v>1</v>
      </c>
      <c r="P46" s="74">
        <f>IFERROR(IF(O46&gt;0,N46/O46,"-"),"-")</f>
        <v/>
      </c>
      <c r="Q46" s="75" t="n">
        <v>2</v>
      </c>
      <c r="R46" s="60" t="n"/>
      <c r="S46" s="60" t="n"/>
    </row>
    <row r="47" ht="15" customHeight="1">
      <c r="A47" s="70" t="n">
        <v>37</v>
      </c>
      <c r="B47" s="71" t="inlineStr">
        <is>
          <t>Oud Collection</t>
        </is>
      </c>
      <c r="C47" s="70" t="inlineStr">
        <is>
          <t>O00007</t>
        </is>
      </c>
      <c r="D47" s="71" t="inlineStr">
        <is>
          <t>Oud Hindi Khas - AGARWOOD BOX -42g</t>
        </is>
      </c>
      <c r="E47" s="70" t="n"/>
      <c r="F47" s="72">
        <f>SUM(I47:O47)</f>
        <v/>
      </c>
      <c r="G47" s="72">
        <f>SUM(J47:P47)</f>
        <v/>
      </c>
      <c r="H47" s="73">
        <f>IFERROR(IF(G47&gt;0,F47/G47,"-"),"-")</f>
        <v/>
      </c>
      <c r="I47" s="74" t="n">
        <v>10</v>
      </c>
      <c r="J47" s="74">
        <f>IFERROR(IF(I47&gt;0,H47/I47,"-"),"-")</f>
        <v/>
      </c>
      <c r="K47" s="75" t="n"/>
      <c r="L47" s="74" t="n">
        <v>9</v>
      </c>
      <c r="M47" s="74">
        <f>IFERROR(IF(L47&gt;0,K47/L47,"-"),"-")</f>
        <v/>
      </c>
      <c r="N47" s="75" t="n"/>
      <c r="O47" s="74" t="n">
        <v>4</v>
      </c>
      <c r="P47" s="74">
        <f>IFERROR(IF(O47&gt;0,N47/O47,"-"),"-")</f>
        <v/>
      </c>
      <c r="Q47" s="75" t="n">
        <v>0</v>
      </c>
      <c r="R47" s="60" t="n"/>
      <c r="S47" s="60" t="n"/>
    </row>
    <row r="48" ht="15" customHeight="1">
      <c r="A48" s="76" t="inlineStr">
        <is>
          <t xml:space="preserve">  SPECIAL SETS</t>
        </is>
      </c>
      <c r="B48" s="77" t="n"/>
      <c r="C48" s="77" t="n"/>
      <c r="D48" s="77" t="n"/>
      <c r="E48" s="77" t="n">
        <v>1</v>
      </c>
      <c r="F48" s="72">
        <f>SUM(I48:O48)</f>
        <v/>
      </c>
      <c r="G48" s="72">
        <f>SUM(J48:P48)</f>
        <v/>
      </c>
      <c r="H48" s="73">
        <f>IFERROR(IF(G48&gt;0,F48/G48,"-"),"-")</f>
        <v/>
      </c>
      <c r="I48" s="74" t="n">
        <v>1</v>
      </c>
      <c r="J48" s="74">
        <f>IFERROR(IF(I48&gt;0,H48/I48,"-"),"-")</f>
        <v/>
      </c>
      <c r="K48" s="75" t="n">
        <v>1</v>
      </c>
      <c r="L48" s="74" t="n">
        <v>2</v>
      </c>
      <c r="M48" s="74">
        <f>IFERROR(IF(L48&gt;0,K48/L48,"-"),"-")</f>
        <v/>
      </c>
      <c r="N48" s="75" t="n"/>
      <c r="O48" s="74" t="n">
        <v>1</v>
      </c>
      <c r="P48" s="74">
        <f>IFERROR(IF(O48&gt;0,N48/O48,"-"),"-")</f>
        <v/>
      </c>
      <c r="Q48" s="75" t="n"/>
      <c r="R48" s="59" t="n"/>
      <c r="S48" s="59" t="n"/>
    </row>
    <row r="49" ht="15" customHeight="1">
      <c r="A49" s="70" t="n">
        <v>38</v>
      </c>
      <c r="B49" s="71" t="inlineStr">
        <is>
          <t>Special Sets</t>
        </is>
      </c>
      <c r="C49" s="70" t="inlineStr">
        <is>
          <t>SP0001</t>
        </is>
      </c>
      <c r="D49" s="71" t="inlineStr">
        <is>
          <t>White Oud</t>
        </is>
      </c>
      <c r="E49" s="70" t="n">
        <v>2</v>
      </c>
      <c r="F49" s="72">
        <f>SUM(I49:O49)</f>
        <v/>
      </c>
      <c r="G49" s="72">
        <f>SUM(J49:P49)</f>
        <v/>
      </c>
      <c r="H49" s="73">
        <f>IFERROR(IF(G49&gt;0,F49/G49,"-"),"-")</f>
        <v/>
      </c>
      <c r="I49" s="74" t="n"/>
      <c r="J49" s="74">
        <f>IFERROR(IF(I49&gt;0,H49/I49,"-"),"-")</f>
        <v/>
      </c>
      <c r="K49" s="75" t="n"/>
      <c r="L49" s="74" t="n"/>
      <c r="M49" s="74">
        <f>IFERROR(IF(L49&gt;0,K49/L49,"-"),"-")</f>
        <v/>
      </c>
      <c r="N49" s="75" t="n"/>
      <c r="O49" s="74" t="n">
        <v>3</v>
      </c>
      <c r="P49" s="74">
        <f>IFERROR(IF(O49&gt;0,N49/O49,"-"),"-")</f>
        <v/>
      </c>
      <c r="Q49" s="75" t="n">
        <v>4</v>
      </c>
      <c r="R49" s="60" t="n"/>
      <c r="S49" s="60" t="n"/>
    </row>
    <row r="50" ht="15" customHeight="1">
      <c r="A50" s="70" t="n">
        <v>39</v>
      </c>
      <c r="B50" s="71" t="inlineStr">
        <is>
          <t>Special Sets</t>
        </is>
      </c>
      <c r="C50" s="70" t="inlineStr">
        <is>
          <t>SP0006</t>
        </is>
      </c>
      <c r="D50" s="71" t="inlineStr">
        <is>
          <t>More Of Oud</t>
        </is>
      </c>
      <c r="E50" s="70" t="n">
        <v>2</v>
      </c>
      <c r="F50" s="72">
        <f>SUM(I50:O50)</f>
        <v/>
      </c>
      <c r="G50" s="72">
        <f>SUM(J50:P50)</f>
        <v/>
      </c>
      <c r="H50" s="73">
        <f>IFERROR(IF(G50&gt;0,F50/G50,"-"),"-")</f>
        <v/>
      </c>
      <c r="I50" s="74" t="n">
        <v>4</v>
      </c>
      <c r="J50" s="74">
        <f>IFERROR(IF(I50&gt;0,H50/I50,"-"),"-")</f>
        <v/>
      </c>
      <c r="K50" s="75" t="n"/>
      <c r="L50" s="74" t="n"/>
      <c r="M50" s="74">
        <f>IFERROR(IF(L50&gt;0,K50/L50,"-"),"-")</f>
        <v/>
      </c>
      <c r="N50" s="75" t="n">
        <v>1</v>
      </c>
      <c r="O50" s="74" t="n">
        <v>1</v>
      </c>
      <c r="P50" s="74">
        <f>IFERROR(IF(O50&gt;0,N50/O50,"-"),"-")</f>
        <v/>
      </c>
      <c r="Q50" s="75" t="n">
        <v>0</v>
      </c>
      <c r="R50" s="60" t="n"/>
      <c r="S50" s="60" t="n"/>
    </row>
    <row r="51" ht="15" customHeight="1">
      <c r="A51" s="70" t="n">
        <v>40</v>
      </c>
      <c r="B51" s="71" t="inlineStr">
        <is>
          <t>Special Sets</t>
        </is>
      </c>
      <c r="C51" s="70" t="inlineStr">
        <is>
          <t>SP0007</t>
        </is>
      </c>
      <c r="D51" s="71" t="inlineStr">
        <is>
          <t>Reflection -T 100 ML</t>
        </is>
      </c>
      <c r="E51" s="70" t="n">
        <v>2</v>
      </c>
      <c r="F51" s="72">
        <f>SUM(I51:O51)</f>
        <v/>
      </c>
      <c r="G51" s="72">
        <f>SUM(J51:P51)</f>
        <v/>
      </c>
      <c r="H51" s="73">
        <f>IFERROR(IF(G51&gt;0,F51/G51,"-"),"-")</f>
        <v/>
      </c>
      <c r="I51" s="74" t="n">
        <v>3</v>
      </c>
      <c r="J51" s="74">
        <f>IFERROR(IF(I51&gt;0,H51/I51,"-"),"-")</f>
        <v/>
      </c>
      <c r="K51" s="75" t="n"/>
      <c r="L51" s="74" t="n">
        <v>1</v>
      </c>
      <c r="M51" s="74">
        <f>IFERROR(IF(L51&gt;0,K51/L51,"-"),"-")</f>
        <v/>
      </c>
      <c r="N51" s="75" t="n">
        <v>1</v>
      </c>
      <c r="O51" s="74" t="n">
        <v>5</v>
      </c>
      <c r="P51" s="74">
        <f>IFERROR(IF(O51&gt;0,N51/O51,"-"),"-")</f>
        <v/>
      </c>
      <c r="Q51" s="75" t="n">
        <v>0</v>
      </c>
      <c r="R51" s="60" t="n"/>
      <c r="S51" s="60" t="n"/>
    </row>
    <row r="52" ht="15" customHeight="1">
      <c r="A52" s="70" t="n">
        <v>41</v>
      </c>
      <c r="B52" s="71" t="inlineStr">
        <is>
          <t>Special Sets</t>
        </is>
      </c>
      <c r="C52" s="70" t="inlineStr">
        <is>
          <t>SP0030</t>
        </is>
      </c>
      <c r="D52" s="71" t="inlineStr">
        <is>
          <t>Midnight Oud 30ml</t>
        </is>
      </c>
      <c r="E52" s="70" t="n">
        <v>1</v>
      </c>
      <c r="F52" s="72">
        <f>SUM(I52:O52)</f>
        <v/>
      </c>
      <c r="G52" s="72">
        <f>SUM(J52:P52)</f>
        <v/>
      </c>
      <c r="H52" s="73">
        <f>IFERROR(IF(G52&gt;0,F52/G52,"-"),"-")</f>
        <v/>
      </c>
      <c r="I52" s="74" t="n"/>
      <c r="J52" s="74">
        <f>IFERROR(IF(I52&gt;0,H52/I52,"-"),"-")</f>
        <v/>
      </c>
      <c r="K52" s="75" t="n"/>
      <c r="L52" s="74" t="n"/>
      <c r="M52" s="74">
        <f>IFERROR(IF(L52&gt;0,K52/L52,"-"),"-")</f>
        <v/>
      </c>
      <c r="N52" s="75" t="n"/>
      <c r="O52" s="74" t="n"/>
      <c r="P52" s="74">
        <f>IFERROR(IF(O52&gt;0,N52/O52,"-"),"-")</f>
        <v/>
      </c>
      <c r="Q52" s="75" t="n">
        <v>0</v>
      </c>
      <c r="R52" s="60" t="n"/>
      <c r="S52" s="60" t="n"/>
    </row>
    <row r="53" ht="15" customHeight="1">
      <c r="A53" s="76" t="inlineStr">
        <is>
          <t xml:space="preserve">  OILS &amp; CPO</t>
        </is>
      </c>
      <c r="B53" s="77" t="n"/>
      <c r="C53" s="77" t="n"/>
      <c r="D53" s="77" t="n"/>
      <c r="E53" s="77" t="n"/>
      <c r="F53" s="72">
        <f>SUM(I53:O53)</f>
        <v/>
      </c>
      <c r="G53" s="72">
        <f>SUM(J53:P53)</f>
        <v/>
      </c>
      <c r="H53" s="73">
        <f>IFERROR(IF(G53&gt;0,F53/G53,"-"),"-")</f>
        <v/>
      </c>
      <c r="I53" s="74" t="n"/>
      <c r="J53" s="74">
        <f>IFERROR(IF(I53&gt;0,H53/I53,"-"),"-")</f>
        <v/>
      </c>
      <c r="K53" s="75" t="n"/>
      <c r="L53" s="74" t="n"/>
      <c r="M53" s="74">
        <f>IFERROR(IF(L53&gt;0,K53/L53,"-"),"-")</f>
        <v/>
      </c>
      <c r="N53" s="75" t="n"/>
      <c r="O53" s="74" t="n">
        <v>1</v>
      </c>
      <c r="P53" s="74">
        <f>IFERROR(IF(O53&gt;0,N53/O53,"-"),"-")</f>
        <v/>
      </c>
      <c r="Q53" s="75" t="n"/>
      <c r="R53" s="59" t="n"/>
      <c r="S53" s="59" t="n"/>
    </row>
    <row r="54" ht="15" customHeight="1">
      <c r="A54" s="70" t="n">
        <v>42</v>
      </c>
      <c r="B54" s="71" t="inlineStr">
        <is>
          <t>Oils &amp; CPO</t>
        </is>
      </c>
      <c r="C54" s="70" t="inlineStr">
        <is>
          <t>I00001</t>
        </is>
      </c>
      <c r="D54" s="71" t="inlineStr">
        <is>
          <t>Hindi Special</t>
        </is>
      </c>
      <c r="E54" s="70" t="n">
        <v>2</v>
      </c>
      <c r="F54" s="72">
        <f>SUM(I54:O54)</f>
        <v/>
      </c>
      <c r="G54" s="72">
        <f>SUM(J54:P54)</f>
        <v/>
      </c>
      <c r="H54" s="73">
        <f>IFERROR(IF(G54&gt;0,F54/G54,"-"),"-")</f>
        <v/>
      </c>
      <c r="I54" s="74" t="n">
        <v>6</v>
      </c>
      <c r="J54" s="74">
        <f>IFERROR(IF(I54&gt;0,H54/I54,"-"),"-")</f>
        <v/>
      </c>
      <c r="K54" s="75" t="n"/>
      <c r="L54" s="74" t="n">
        <v>2</v>
      </c>
      <c r="M54" s="74">
        <f>IFERROR(IF(L54&gt;0,K54/L54,"-"),"-")</f>
        <v/>
      </c>
      <c r="N54" s="75" t="n"/>
      <c r="O54" s="74" t="n">
        <v>3</v>
      </c>
      <c r="P54" s="74">
        <f>IFERROR(IF(O54&gt;0,N54/O54,"-"),"-")</f>
        <v/>
      </c>
      <c r="Q54" s="75" t="n">
        <v>0</v>
      </c>
      <c r="R54" s="60" t="n"/>
      <c r="S54" s="60" t="n"/>
    </row>
    <row r="55" ht="15" customHeight="1">
      <c r="A55" s="70" t="n">
        <v>43</v>
      </c>
      <c r="B55" s="71" t="inlineStr">
        <is>
          <t>Oils &amp; CPO</t>
        </is>
      </c>
      <c r="C55" s="70" t="inlineStr">
        <is>
          <t>I00003</t>
        </is>
      </c>
      <c r="D55" s="71" t="inlineStr">
        <is>
          <t>White Oil -8 ML</t>
        </is>
      </c>
      <c r="E55" s="70" t="n">
        <v>1</v>
      </c>
      <c r="F55" s="72">
        <f>SUM(I55:O55)</f>
        <v/>
      </c>
      <c r="G55" s="72">
        <f>SUM(J55:P55)</f>
        <v/>
      </c>
      <c r="H55" s="73">
        <f>IFERROR(IF(G55&gt;0,F55/G55,"-"),"-")</f>
        <v/>
      </c>
      <c r="I55" s="74" t="n">
        <v>4</v>
      </c>
      <c r="J55" s="74">
        <f>IFERROR(IF(I55&gt;0,H55/I55,"-"),"-")</f>
        <v/>
      </c>
      <c r="K55" s="75" t="n">
        <v>1</v>
      </c>
      <c r="L55" s="74" t="n">
        <v>5</v>
      </c>
      <c r="M55" s="74">
        <f>IFERROR(IF(L55&gt;0,K55/L55,"-"),"-")</f>
        <v/>
      </c>
      <c r="N55" s="75" t="n">
        <v>1</v>
      </c>
      <c r="O55" s="74" t="n">
        <v>17</v>
      </c>
      <c r="P55" s="74">
        <f>IFERROR(IF(O55&gt;0,N55/O55,"-"),"-")</f>
        <v/>
      </c>
      <c r="Q55" s="75" t="n">
        <v>0</v>
      </c>
      <c r="R55" s="60" t="n"/>
      <c r="S55" s="60" t="n"/>
    </row>
    <row r="56" ht="15" customHeight="1">
      <c r="A56" s="70" t="n">
        <v>44</v>
      </c>
      <c r="B56" s="71" t="inlineStr">
        <is>
          <t>Oils &amp; CPO</t>
        </is>
      </c>
      <c r="C56" s="70" t="inlineStr">
        <is>
          <t>I00004</t>
        </is>
      </c>
      <c r="D56" s="71" t="inlineStr">
        <is>
          <t>Maroon Oil - 8 ML</t>
        </is>
      </c>
      <c r="E56" s="70" t="n">
        <v>1</v>
      </c>
      <c r="F56" s="72">
        <f>SUM(I56:O56)</f>
        <v/>
      </c>
      <c r="G56" s="72">
        <f>SUM(J56:P56)</f>
        <v/>
      </c>
      <c r="H56" s="73">
        <f>IFERROR(IF(G56&gt;0,F56/G56,"-"),"-")</f>
        <v/>
      </c>
      <c r="I56" s="74" t="n">
        <v>4</v>
      </c>
      <c r="J56" s="74">
        <f>IFERROR(IF(I56&gt;0,H56/I56,"-"),"-")</f>
        <v/>
      </c>
      <c r="K56" s="75" t="n"/>
      <c r="L56" s="74" t="n">
        <v>4</v>
      </c>
      <c r="M56" s="74">
        <f>IFERROR(IF(L56&gt;0,K56/L56,"-"),"-")</f>
        <v/>
      </c>
      <c r="N56" s="75" t="n">
        <v>1</v>
      </c>
      <c r="O56" s="74" t="n">
        <v>2</v>
      </c>
      <c r="P56" s="74">
        <f>IFERROR(IF(O56&gt;0,N56/O56,"-"),"-")</f>
        <v/>
      </c>
      <c r="Q56" s="75" t="n">
        <v>0</v>
      </c>
      <c r="R56" s="60" t="n"/>
      <c r="S56" s="60" t="n"/>
    </row>
    <row r="57" ht="15" customHeight="1">
      <c r="A57" s="70" t="n">
        <v>45</v>
      </c>
      <c r="B57" s="71" t="inlineStr">
        <is>
          <t>Oils &amp; CPO</t>
        </is>
      </c>
      <c r="C57" s="70" t="inlineStr">
        <is>
          <t>I00005</t>
        </is>
      </c>
      <c r="D57" s="71" t="inlineStr">
        <is>
          <t>NO.4 Oil -8 ML</t>
        </is>
      </c>
      <c r="E57" s="70" t="n">
        <v>1</v>
      </c>
      <c r="F57" s="72">
        <f>SUM(I57:O57)</f>
        <v/>
      </c>
      <c r="G57" s="72">
        <f>SUM(J57:P57)</f>
        <v/>
      </c>
      <c r="H57" s="73">
        <f>IFERROR(IF(G57&gt;0,F57/G57,"-"),"-")</f>
        <v/>
      </c>
      <c r="I57" s="74" t="n">
        <v>8</v>
      </c>
      <c r="J57" s="74">
        <f>IFERROR(IF(I57&gt;0,H57/I57,"-"),"-")</f>
        <v/>
      </c>
      <c r="K57" s="75" t="n"/>
      <c r="L57" s="74" t="n">
        <v>8</v>
      </c>
      <c r="M57" s="74">
        <f>IFERROR(IF(L57&gt;0,K57/L57,"-"),"-")</f>
        <v/>
      </c>
      <c r="N57" s="75" t="n">
        <v>1</v>
      </c>
      <c r="O57" s="74" t="n">
        <v>18</v>
      </c>
      <c r="P57" s="74">
        <f>IFERROR(IF(O57&gt;0,N57/O57,"-"),"-")</f>
        <v/>
      </c>
      <c r="Q57" s="75" t="n">
        <v>0</v>
      </c>
      <c r="R57" s="60" t="n"/>
      <c r="S57" s="60" t="n"/>
    </row>
    <row r="58" ht="15" customHeight="1">
      <c r="A58" s="70" t="n">
        <v>46</v>
      </c>
      <c r="B58" s="71" t="inlineStr">
        <is>
          <t>Oils &amp; CPO</t>
        </is>
      </c>
      <c r="C58" s="70" t="inlineStr">
        <is>
          <t>I00006</t>
        </is>
      </c>
      <c r="D58" s="71" t="inlineStr">
        <is>
          <t>Musk oil 8 ML</t>
        </is>
      </c>
      <c r="E58" s="70" t="n">
        <v>1</v>
      </c>
      <c r="F58" s="72">
        <f>SUM(I58:O58)</f>
        <v/>
      </c>
      <c r="G58" s="72">
        <f>SUM(J58:P58)</f>
        <v/>
      </c>
      <c r="H58" s="73">
        <f>IFERROR(IF(G58&gt;0,F58/G58,"-"),"-")</f>
        <v/>
      </c>
      <c r="I58" s="74" t="n"/>
      <c r="J58" s="74">
        <f>IFERROR(IF(I58&gt;0,H58/I58,"-"),"-")</f>
        <v/>
      </c>
      <c r="K58" s="75" t="n"/>
      <c r="L58" s="74" t="n"/>
      <c r="M58" s="74">
        <f>IFERROR(IF(L58&gt;0,K58/L58,"-"),"-")</f>
        <v/>
      </c>
      <c r="N58" s="75" t="n"/>
      <c r="O58" s="74" t="n"/>
      <c r="P58" s="74">
        <f>IFERROR(IF(O58&gt;0,N58/O58,"-"),"-")</f>
        <v/>
      </c>
      <c r="Q58" s="75" t="n">
        <v>0</v>
      </c>
      <c r="R58" s="60" t="n"/>
      <c r="S58" s="60" t="n"/>
    </row>
    <row r="59" ht="15" customHeight="1">
      <c r="A59" s="70" t="n">
        <v>47</v>
      </c>
      <c r="B59" s="71" t="inlineStr">
        <is>
          <t>Oils &amp; CPO</t>
        </is>
      </c>
      <c r="C59" s="70" t="inlineStr">
        <is>
          <t>I00011</t>
        </is>
      </c>
      <c r="D59" s="71" t="inlineStr">
        <is>
          <t>Midnight Oil 8ml</t>
        </is>
      </c>
      <c r="E59" s="70" t="n"/>
      <c r="F59" s="72">
        <f>SUM(I59:O59)</f>
        <v/>
      </c>
      <c r="G59" s="72">
        <f>SUM(J59:P59)</f>
        <v/>
      </c>
      <c r="H59" s="73">
        <f>IFERROR(IF(G59&gt;0,F59/G59,"-"),"-")</f>
        <v/>
      </c>
      <c r="I59" s="74" t="n"/>
      <c r="J59" s="74">
        <f>IFERROR(IF(I59&gt;0,H59/I59,"-"),"-")</f>
        <v/>
      </c>
      <c r="K59" s="75" t="n"/>
      <c r="L59" s="74" t="n"/>
      <c r="M59" s="74">
        <f>IFERROR(IF(L59&gt;0,K59/L59,"-"),"-")</f>
        <v/>
      </c>
      <c r="N59" s="75" t="n"/>
      <c r="O59" s="74" t="n"/>
      <c r="P59" s="74">
        <f>IFERROR(IF(O59&gt;0,N59/O59,"-"),"-")</f>
        <v/>
      </c>
      <c r="Q59" s="75" t="n">
        <v>0</v>
      </c>
      <c r="R59" s="60" t="n"/>
      <c r="S59" s="60" t="n"/>
    </row>
    <row r="60" ht="15" customHeight="1">
      <c r="A60" s="76" t="inlineStr">
        <is>
          <t xml:space="preserve">  ACCESSORIES</t>
        </is>
      </c>
      <c r="B60" s="77" t="n"/>
      <c r="C60" s="77" t="n"/>
      <c r="D60" s="77" t="n"/>
      <c r="E60" s="77" t="n">
        <v>1</v>
      </c>
      <c r="F60" s="72">
        <f>SUM(I60:O60)</f>
        <v/>
      </c>
      <c r="G60" s="72">
        <f>SUM(J60:P60)</f>
        <v/>
      </c>
      <c r="H60" s="73">
        <f>IFERROR(IF(G60&gt;0,F60/G60,"-"),"-")</f>
        <v/>
      </c>
      <c r="I60" s="74" t="n">
        <v>5</v>
      </c>
      <c r="J60" s="74">
        <f>IFERROR(IF(I60&gt;0,H60/I60,"-"),"-")</f>
        <v/>
      </c>
      <c r="K60" s="75" t="n">
        <v>1</v>
      </c>
      <c r="L60" s="74" t="n">
        <v>16</v>
      </c>
      <c r="M60" s="74">
        <f>IFERROR(IF(L60&gt;0,K60/L60,"-"),"-")</f>
        <v/>
      </c>
      <c r="N60" s="75" t="n">
        <v>1</v>
      </c>
      <c r="O60" s="74" t="n">
        <v>7</v>
      </c>
      <c r="P60" s="74">
        <f>IFERROR(IF(O60&gt;0,N60/O60,"-"),"-")</f>
        <v/>
      </c>
      <c r="Q60" s="75" t="n"/>
      <c r="R60" s="59" t="n"/>
      <c r="S60" s="59" t="n"/>
    </row>
    <row r="61" ht="15" customHeight="1">
      <c r="A61" s="70" t="n">
        <v>48</v>
      </c>
      <c r="B61" s="71" t="inlineStr">
        <is>
          <t>Accessories</t>
        </is>
      </c>
      <c r="C61" s="70" t="inlineStr">
        <is>
          <t>AC0003</t>
        </is>
      </c>
      <c r="D61" s="71" t="inlineStr">
        <is>
          <t>Lighter</t>
        </is>
      </c>
      <c r="E61" s="70" t="n">
        <v>1</v>
      </c>
      <c r="F61" s="72">
        <f>SUM(I61:O61)</f>
        <v/>
      </c>
      <c r="G61" s="72">
        <f>SUM(J61:P61)</f>
        <v/>
      </c>
      <c r="H61" s="73">
        <f>IFERROR(IF(G61&gt;0,F61/G61,"-"),"-")</f>
        <v/>
      </c>
      <c r="I61" s="74" t="n">
        <v>12</v>
      </c>
      <c r="J61" s="74">
        <f>IFERROR(IF(I61&gt;0,H61/I61,"-"),"-")</f>
        <v/>
      </c>
      <c r="K61" s="75" t="n">
        <v>1</v>
      </c>
      <c r="L61" s="74" t="n">
        <v>29</v>
      </c>
      <c r="M61" s="74">
        <f>IFERROR(IF(L61&gt;0,K61/L61,"-"),"-")</f>
        <v/>
      </c>
      <c r="N61" s="75" t="n">
        <v>1</v>
      </c>
      <c r="O61" s="74" t="n">
        <v>13</v>
      </c>
      <c r="P61" s="74">
        <f>IFERROR(IF(O61&gt;0,N61/O61,"-"),"-")</f>
        <v/>
      </c>
      <c r="Q61" s="75" t="n">
        <v>0</v>
      </c>
      <c r="R61" s="60" t="n"/>
      <c r="S61" s="60" t="n"/>
    </row>
    <row r="62" ht="15" customHeight="1">
      <c r="A62" s="70" t="n">
        <v>49</v>
      </c>
      <c r="B62" s="71" t="inlineStr">
        <is>
          <t>Accessories</t>
        </is>
      </c>
      <c r="C62" s="70" t="inlineStr">
        <is>
          <t>AC0004</t>
        </is>
      </c>
      <c r="D62" s="71" t="inlineStr">
        <is>
          <t>Picker</t>
        </is>
      </c>
      <c r="E62" s="70" t="n"/>
      <c r="F62" s="72">
        <f>SUM(I62:O62)</f>
        <v/>
      </c>
      <c r="G62" s="72">
        <f>SUM(J62:P62)</f>
        <v/>
      </c>
      <c r="H62" s="73">
        <f>IFERROR(IF(G62&gt;0,F62/G62,"-"),"-")</f>
        <v/>
      </c>
      <c r="I62" s="74" t="n">
        <v>3</v>
      </c>
      <c r="J62" s="74">
        <f>IFERROR(IF(I62&gt;0,H62/I62,"-"),"-")</f>
        <v/>
      </c>
      <c r="K62" s="75" t="n"/>
      <c r="L62" s="74" t="n">
        <v>1</v>
      </c>
      <c r="M62" s="74">
        <f>IFERROR(IF(L62&gt;0,K62/L62,"-"),"-")</f>
        <v/>
      </c>
      <c r="N62" s="75" t="n"/>
      <c r="O62" s="74" t="n"/>
      <c r="P62" s="74">
        <f>IFERROR(IF(O62&gt;0,N62/O62,"-"),"-")</f>
        <v/>
      </c>
      <c r="Q62" s="75" t="n">
        <v>0</v>
      </c>
      <c r="R62" s="60" t="n"/>
      <c r="S62" s="60" t="n"/>
    </row>
    <row r="63">
      <c r="A63" s="77" t="n"/>
      <c r="B63" s="77" t="n"/>
      <c r="C63" s="77" t="n"/>
      <c r="D63" s="77" t="n"/>
      <c r="E63" s="77" t="n"/>
      <c r="F63" s="72">
        <f>SUM(I63:O63)</f>
        <v/>
      </c>
      <c r="G63" s="72">
        <f>SUM(J63:P63)</f>
        <v/>
      </c>
      <c r="H63" s="73">
        <f>IFERROR(IF(G63&gt;0,F63/G63,"-"),"-")</f>
        <v/>
      </c>
      <c r="I63" s="74" t="n">
        <v>4</v>
      </c>
      <c r="J63" s="74">
        <f>IFERROR(IF(I63&gt;0,H63/I63,"-"),"-")</f>
        <v/>
      </c>
      <c r="K63" s="75" t="n"/>
      <c r="L63" s="74" t="n"/>
      <c r="M63" s="74">
        <f>IFERROR(IF(L63&gt;0,K63/L63,"-"),"-")</f>
        <v/>
      </c>
      <c r="N63" s="75" t="n"/>
      <c r="O63" s="74" t="n"/>
      <c r="P63" s="74">
        <f>IFERROR(IF(O63&gt;0,N63/O63,"-"),"-")</f>
        <v/>
      </c>
      <c r="Q63" s="75" t="n"/>
      <c r="R63" s="59" t="n"/>
      <c r="S63" s="59" t="n"/>
    </row>
    <row r="64">
      <c r="A64" s="77" t="n"/>
      <c r="B64" s="77" t="n"/>
      <c r="C64" s="77" t="n"/>
      <c r="D64" s="77" t="n"/>
      <c r="E64" s="77" t="n"/>
      <c r="F64" s="72">
        <f>SUM(I64:O64)</f>
        <v/>
      </c>
      <c r="G64" s="72">
        <f>SUM(J64:P64)</f>
        <v/>
      </c>
      <c r="H64" s="73">
        <f>IFERROR(IF(G64&gt;0,F64/G64,"-"),"-")</f>
        <v/>
      </c>
      <c r="I64" s="74" t="n">
        <v>2</v>
      </c>
      <c r="J64" s="74">
        <f>IFERROR(IF(I64&gt;0,H64/I64,"-"),"-")</f>
        <v/>
      </c>
      <c r="K64" s="75" t="n"/>
      <c r="L64" s="74" t="n"/>
      <c r="M64" s="74">
        <f>IFERROR(IF(L64&gt;0,K64/L64,"-"),"-")</f>
        <v/>
      </c>
      <c r="N64" s="75" t="n">
        <v>1</v>
      </c>
      <c r="O64" s="74" t="n"/>
      <c r="P64" s="74">
        <f>IFERROR(IF(O64&gt;0,N64/O64,"-"),"-")</f>
        <v/>
      </c>
      <c r="Q64" s="75" t="n"/>
      <c r="R64" s="59" t="n"/>
      <c r="S64" s="59" t="n"/>
    </row>
  </sheetData>
  <mergeCells count="5">
    <mergeCell ref="A1:AZ1"/>
    <mergeCell ref="O3"/>
    <mergeCell ref="I3"/>
    <mergeCell ref="L3"/>
    <mergeCell ref="A2:AZ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5E20"/>
    <outlinePr summaryBelow="1" summaryRight="1"/>
    <pageSetUpPr/>
  </sheetPr>
  <dimension ref="A1:AZ64"/>
  <sheetViews>
    <sheetView showGridLines="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2" customWidth="1" min="4" max="4"/>
    <col width="25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7.5" customWidth="1" min="18" max="18"/>
    <col width="9" customWidth="1" min="19" max="19"/>
  </cols>
  <sheetData>
    <row r="1" ht="25" customHeight="1">
      <c r="A1" s="55" t="inlineStr">
        <is>
          <t>EMIRATES PRIDE PERFUMES | TESTER CONSUMPTION | JAN 2026 | ELMATLOUB</t>
        </is>
      </c>
    </row>
    <row r="2" ht="14" customHeight="1">
      <c r="A2" s="56" t="inlineStr">
        <is>
          <t>T=Testers Dispatched (blue) | S=Sales Generated (green) | Contrib%=Contribution %</t>
        </is>
      </c>
    </row>
    <row r="3" ht="30" customHeight="1">
      <c r="A3" s="57" t="inlineStr">
        <is>
          <t>#</t>
        </is>
      </c>
      <c r="B3" s="57" t="inlineStr">
        <is>
          <t>Category</t>
        </is>
      </c>
      <c r="C3" s="57" t="inlineStr">
        <is>
          <t>Sub-Category</t>
        </is>
      </c>
      <c r="D3" s="57" t="inlineStr">
        <is>
          <t>SKU Code</t>
        </is>
      </c>
      <c r="E3" s="57" t="inlineStr">
        <is>
          <t>Product Name</t>
        </is>
      </c>
      <c r="F3" s="57" t="inlineStr">
        <is>
          <t>Grand Total
Testers</t>
        </is>
      </c>
      <c r="G3" s="57" t="inlineStr">
        <is>
          <t>Grand Total
Sales</t>
        </is>
      </c>
      <c r="H3" s="57" t="inlineStr">
        <is>
          <t>Grand Total
Contrib%</t>
        </is>
      </c>
      <c r="I3" s="58" t="inlineStr">
        <is>
          <t>Fujairah CC</t>
        </is>
      </c>
      <c r="J3" s="59" t="n"/>
      <c r="K3" s="60" t="n"/>
      <c r="L3" s="58" t="inlineStr">
        <is>
          <t>Zahia CC</t>
        </is>
      </c>
      <c r="M3" s="59" t="n"/>
      <c r="N3" s="60" t="n"/>
      <c r="O3" s="58" t="inlineStr">
        <is>
          <t>Ajman CC</t>
        </is>
      </c>
      <c r="P3" s="59" t="n"/>
      <c r="Q3" s="60" t="n"/>
      <c r="R3" s="59" t="n"/>
      <c r="S3" s="59" t="n"/>
    </row>
    <row r="4" ht="44" customHeight="1">
      <c r="A4" s="61" t="n"/>
      <c r="B4" s="61" t="n"/>
      <c r="C4" s="61" t="n"/>
      <c r="D4" s="61" t="n"/>
      <c r="E4" s="61" t="n"/>
      <c r="F4" s="61" t="inlineStr">
        <is>
          <t>T</t>
        </is>
      </c>
      <c r="G4" s="61" t="inlineStr">
        <is>
          <t>S</t>
        </is>
      </c>
      <c r="H4" s="61" t="inlineStr">
        <is>
          <t>Contrib%</t>
        </is>
      </c>
      <c r="I4" s="62" t="inlineStr">
        <is>
          <t>T</t>
        </is>
      </c>
      <c r="J4" s="62" t="inlineStr">
        <is>
          <t>S</t>
        </is>
      </c>
      <c r="K4" s="62" t="inlineStr">
        <is>
          <t>Contrib%</t>
        </is>
      </c>
      <c r="L4" s="62" t="inlineStr">
        <is>
          <t>T</t>
        </is>
      </c>
      <c r="M4" s="62" t="inlineStr">
        <is>
          <t>S</t>
        </is>
      </c>
      <c r="N4" s="62" t="inlineStr">
        <is>
          <t>Contrib%</t>
        </is>
      </c>
      <c r="O4" s="62" t="inlineStr">
        <is>
          <t>T</t>
        </is>
      </c>
      <c r="P4" s="62" t="inlineStr">
        <is>
          <t>S</t>
        </is>
      </c>
      <c r="Q4" s="62" t="inlineStr">
        <is>
          <t>Contrib%</t>
        </is>
      </c>
      <c r="R4" s="60" t="n"/>
      <c r="S4" s="60" t="n"/>
    </row>
    <row r="5" ht="20" customHeight="1">
      <c r="A5" s="63" t="inlineStr">
        <is>
          <t>GRAND TOTAL</t>
        </is>
      </c>
      <c r="B5" s="59" t="n"/>
      <c r="C5" s="59" t="n"/>
      <c r="D5" s="59" t="n"/>
      <c r="E5" s="60" t="n"/>
      <c r="F5" s="64">
        <f>SUM(F12:F64)</f>
        <v/>
      </c>
      <c r="G5" s="64">
        <f>SUM(G12:G64)</f>
        <v/>
      </c>
      <c r="H5" s="65">
        <f>IFERROR(IF(G5&gt;0,F5/G5,"-"),"-")</f>
        <v/>
      </c>
      <c r="I5" s="66">
        <f>SUM(I12:I64)</f>
        <v/>
      </c>
      <c r="J5" s="66">
        <f>SUM(J12:J64)</f>
        <v/>
      </c>
      <c r="K5" s="67">
        <f>IFERROR(IF(J5&gt;0,I5/J5,"-"),"-")</f>
        <v/>
      </c>
      <c r="L5" s="66">
        <f>SUM(L12:L64)</f>
        <v/>
      </c>
      <c r="M5" s="66">
        <f>SUM(M12:M64)</f>
        <v/>
      </c>
      <c r="N5" s="67">
        <f>IFERROR(IF(M5&gt;0,L5/M5,"-"),"-")</f>
        <v/>
      </c>
      <c r="O5" s="66">
        <f>SUM(O12:O64)</f>
        <v/>
      </c>
      <c r="P5" s="66">
        <f>SUM(P12:P64)</f>
        <v/>
      </c>
      <c r="Q5" s="67">
        <f>IFERROR(IF(P5&gt;0,O5/P5,"-"),"-")</f>
        <v/>
      </c>
      <c r="R5" s="60" t="n"/>
      <c r="S5" s="60" t="n"/>
    </row>
    <row r="6" ht="15" customHeight="1">
      <c r="A6" s="68" t="n"/>
      <c r="B6" s="59" t="n"/>
      <c r="C6" s="59" t="n"/>
      <c r="D6" s="59" t="n"/>
      <c r="E6" s="59" t="n"/>
      <c r="F6" s="59" t="n"/>
      <c r="G6" s="59" t="n"/>
      <c r="H6" s="59" t="n"/>
      <c r="I6" s="59" t="n"/>
      <c r="J6" s="59" t="n"/>
      <c r="K6" s="59" t="n"/>
      <c r="L6" s="59" t="n"/>
      <c r="M6" s="59" t="n"/>
      <c r="N6" s="59" t="n"/>
      <c r="O6" s="59" t="n"/>
      <c r="P6" s="59" t="n"/>
      <c r="Q6" s="59" t="n"/>
      <c r="R6" s="59" t="n"/>
      <c r="S6" s="59" t="n"/>
    </row>
    <row r="7" ht="15" customHeight="1">
      <c r="A7" s="60" t="n"/>
      <c r="B7" s="69" t="n"/>
      <c r="C7" s="60" t="n"/>
      <c r="D7" s="69" t="n"/>
      <c r="E7" s="60" t="n"/>
      <c r="F7" s="60" t="n"/>
      <c r="G7" s="60" t="n"/>
      <c r="H7" s="60" t="n"/>
      <c r="I7" s="60" t="n"/>
      <c r="J7" s="60" t="n"/>
      <c r="K7" s="60" t="n"/>
      <c r="L7" s="60" t="n"/>
      <c r="M7" s="60" t="n"/>
      <c r="N7" s="60" t="n"/>
      <c r="O7" s="60" t="n"/>
      <c r="P7" s="60" t="n"/>
      <c r="Q7" s="60" t="n"/>
      <c r="R7" s="60" t="n"/>
      <c r="S7" s="60" t="n"/>
    </row>
    <row r="8" ht="15" customHeight="1">
      <c r="A8" s="60" t="n"/>
      <c r="B8" s="69" t="n"/>
      <c r="C8" s="60" t="n"/>
      <c r="D8" s="69" t="n"/>
      <c r="E8" s="60" t="n"/>
      <c r="F8" s="60" t="n"/>
      <c r="G8" s="60" t="n"/>
      <c r="H8" s="60" t="n"/>
      <c r="I8" s="60" t="n"/>
      <c r="J8" s="60" t="n"/>
      <c r="K8" s="60" t="n"/>
      <c r="L8" s="60" t="n"/>
      <c r="M8" s="60" t="n"/>
      <c r="N8" s="60" t="n"/>
      <c r="O8" s="60" t="n"/>
      <c r="P8" s="60" t="n"/>
      <c r="Q8" s="60" t="n"/>
      <c r="R8" s="60" t="n"/>
      <c r="S8" s="60" t="n"/>
    </row>
    <row r="9" ht="15" customHeight="1">
      <c r="A9" s="68" t="n"/>
      <c r="B9" s="59" t="n"/>
      <c r="C9" s="59" t="n"/>
      <c r="D9" s="59" t="n"/>
      <c r="E9" s="59" t="n"/>
      <c r="F9" s="59" t="n"/>
      <c r="G9" s="59" t="n"/>
      <c r="H9" s="59" t="n"/>
      <c r="I9" s="59" t="n"/>
      <c r="J9" s="59" t="n"/>
      <c r="K9" s="59" t="n"/>
      <c r="L9" s="59" t="n"/>
      <c r="M9" s="59" t="n"/>
      <c r="N9" s="59" t="n"/>
      <c r="O9" s="59" t="n"/>
      <c r="P9" s="59" t="n"/>
      <c r="Q9" s="59" t="n"/>
      <c r="R9" s="59" t="n"/>
      <c r="S9" s="59" t="n"/>
    </row>
    <row r="10" ht="15" customHeight="1">
      <c r="A10" s="60" t="n"/>
      <c r="B10" s="69" t="n"/>
      <c r="C10" s="60" t="n"/>
      <c r="D10" s="69" t="n"/>
      <c r="E10" s="60" t="n"/>
      <c r="F10" s="60" t="n"/>
      <c r="G10" s="60" t="n"/>
      <c r="H10" s="60" t="n"/>
      <c r="I10" s="60" t="n"/>
      <c r="J10" s="60" t="n"/>
      <c r="K10" s="60" t="n"/>
      <c r="L10" s="60" t="n"/>
      <c r="M10" s="60" t="n"/>
      <c r="N10" s="60" t="n"/>
      <c r="O10" s="60" t="n"/>
      <c r="P10" s="60" t="n"/>
      <c r="Q10" s="60" t="n"/>
      <c r="R10" s="60" t="n"/>
      <c r="S10" s="60" t="n"/>
    </row>
    <row r="11" ht="15" customHeight="1">
      <c r="A11" s="60" t="n"/>
      <c r="B11" s="69" t="n"/>
      <c r="C11" s="60" t="n"/>
      <c r="D11" s="69" t="n"/>
      <c r="E11" s="60" t="n"/>
      <c r="F11" s="60" t="n"/>
      <c r="G11" s="60" t="n"/>
      <c r="H11" s="60" t="n"/>
      <c r="I11" s="60" t="n"/>
      <c r="J11" s="60" t="n"/>
      <c r="K11" s="60" t="n"/>
      <c r="L11" s="60" t="n"/>
      <c r="M11" s="60" t="n"/>
      <c r="N11" s="60" t="n"/>
      <c r="O11" s="60" t="n"/>
      <c r="P11" s="60" t="n"/>
      <c r="Q11" s="60" t="n"/>
      <c r="R11" s="60" t="n"/>
      <c r="S11" s="60" t="n"/>
    </row>
    <row r="12" ht="15" customHeight="1">
      <c r="A12" s="70" t="n">
        <v>5</v>
      </c>
      <c r="B12" s="71" t="inlineStr">
        <is>
          <t>Bel Collections</t>
        </is>
      </c>
      <c r="C12" s="70" t="inlineStr">
        <is>
          <t>B00003</t>
        </is>
      </c>
      <c r="D12" s="71" t="inlineStr">
        <is>
          <t>Amber Bel oud</t>
        </is>
      </c>
      <c r="E12" s="70" t="n"/>
      <c r="F12" s="72">
        <f>SUM(I12:O12)</f>
        <v/>
      </c>
      <c r="G12" s="72">
        <f>SUM(J12:P12)</f>
        <v/>
      </c>
      <c r="H12" s="73">
        <f>IFERROR(IF(G12&gt;0,F12/G12,"-"),"-")</f>
        <v/>
      </c>
      <c r="I12" s="74" t="n">
        <v>1</v>
      </c>
      <c r="J12" s="74">
        <f>IFERROR(IF(I12&gt;0,H12/I12,"-"),"-")</f>
        <v/>
      </c>
      <c r="K12" s="75" t="n"/>
      <c r="L12" s="74" t="n">
        <v>1</v>
      </c>
      <c r="M12" s="74">
        <f>IFERROR(IF(L12&gt;0,K12/L12,"-"),"-")</f>
        <v/>
      </c>
      <c r="N12" s="75" t="n">
        <v>1</v>
      </c>
      <c r="O12" s="74" t="n">
        <v>7</v>
      </c>
      <c r="P12" s="74">
        <f>IFERROR(IF(O12&gt;0,N12/O12,"-"),"-")</f>
        <v/>
      </c>
      <c r="Q12" s="75" t="n">
        <v>2</v>
      </c>
      <c r="R12" s="60" t="n"/>
      <c r="S12" s="60" t="n"/>
    </row>
    <row r="13" ht="15" customHeight="1">
      <c r="A13" s="70" t="n">
        <v>6</v>
      </c>
      <c r="B13" s="71" t="inlineStr">
        <is>
          <t>Bel Collections</t>
        </is>
      </c>
      <c r="C13" s="70" t="inlineStr">
        <is>
          <t>B00004</t>
        </is>
      </c>
      <c r="D13" s="71" t="inlineStr">
        <is>
          <t>Meydan</t>
        </is>
      </c>
      <c r="E13" s="70" t="n">
        <v>1</v>
      </c>
      <c r="F13" s="72">
        <f>SUM(I13:O13)</f>
        <v/>
      </c>
      <c r="G13" s="72">
        <f>SUM(J13:P13)</f>
        <v/>
      </c>
      <c r="H13" s="73">
        <f>IFERROR(IF(G13&gt;0,F13/G13,"-"),"-")</f>
        <v/>
      </c>
      <c r="I13" s="74" t="n">
        <v>9</v>
      </c>
      <c r="J13" s="74">
        <f>IFERROR(IF(I13&gt;0,H13/I13,"-"),"-")</f>
        <v/>
      </c>
      <c r="K13" s="75" t="n">
        <v>2</v>
      </c>
      <c r="L13" s="74" t="n">
        <v>10</v>
      </c>
      <c r="M13" s="74">
        <f>IFERROR(IF(L13&gt;0,K13/L13,"-"),"-")</f>
        <v/>
      </c>
      <c r="N13" s="75" t="n">
        <v>1</v>
      </c>
      <c r="O13" s="74" t="n">
        <v>22</v>
      </c>
      <c r="P13" s="74">
        <f>IFERROR(IF(O13&gt;0,N13/O13,"-"),"-")</f>
        <v/>
      </c>
      <c r="Q13" s="75" t="n">
        <v>1</v>
      </c>
      <c r="R13" s="60" t="n"/>
      <c r="S13" s="60" t="n"/>
    </row>
    <row r="14" ht="15" customHeight="1">
      <c r="A14" s="70" t="n">
        <v>7</v>
      </c>
      <c r="B14" s="71" t="inlineStr">
        <is>
          <t>Bel Collections</t>
        </is>
      </c>
      <c r="C14" s="70" t="inlineStr">
        <is>
          <t>B00005</t>
        </is>
      </c>
      <c r="D14" s="71" t="inlineStr">
        <is>
          <t>Mystery</t>
        </is>
      </c>
      <c r="E14" s="70" t="n"/>
      <c r="F14" s="72">
        <f>SUM(I14:O14)</f>
        <v/>
      </c>
      <c r="G14" s="72">
        <f>SUM(J14:P14)</f>
        <v/>
      </c>
      <c r="H14" s="73">
        <f>IFERROR(IF(G14&gt;0,F14/G14,"-"),"-")</f>
        <v/>
      </c>
      <c r="I14" s="74" t="n">
        <v>1</v>
      </c>
      <c r="J14" s="74">
        <f>IFERROR(IF(I14&gt;0,H14/I14,"-"),"-")</f>
        <v/>
      </c>
      <c r="K14" s="75" t="n"/>
      <c r="L14" s="74" t="n">
        <v>1</v>
      </c>
      <c r="M14" s="74">
        <f>IFERROR(IF(L14&gt;0,K14/L14,"-"),"-")</f>
        <v/>
      </c>
      <c r="N14" s="75" t="n"/>
      <c r="O14" s="74" t="n">
        <v>3</v>
      </c>
      <c r="P14" s="74">
        <f>IFERROR(IF(O14&gt;0,N14/O14,"-"),"-")</f>
        <v/>
      </c>
      <c r="Q14" s="75" t="n">
        <v>1</v>
      </c>
      <c r="R14" s="60" t="n"/>
      <c r="S14" s="60" t="n"/>
    </row>
    <row r="15" ht="15" customHeight="1">
      <c r="A15" s="70" t="n">
        <v>8</v>
      </c>
      <c r="B15" s="71" t="inlineStr">
        <is>
          <t>Bel Collections</t>
        </is>
      </c>
      <c r="C15" s="70" t="inlineStr">
        <is>
          <t>B00006</t>
        </is>
      </c>
      <c r="D15" s="71" t="inlineStr">
        <is>
          <t>Mersal</t>
        </is>
      </c>
      <c r="E15" s="70" t="n">
        <v>2</v>
      </c>
      <c r="F15" s="72">
        <f>SUM(I15:O15)</f>
        <v/>
      </c>
      <c r="G15" s="72">
        <f>SUM(J15:P15)</f>
        <v/>
      </c>
      <c r="H15" s="73">
        <f>IFERROR(IF(G15&gt;0,F15/G15,"-"),"-")</f>
        <v/>
      </c>
      <c r="I15" s="74" t="n">
        <v>5</v>
      </c>
      <c r="J15" s="74">
        <f>IFERROR(IF(I15&gt;0,H15/I15,"-"),"-")</f>
        <v/>
      </c>
      <c r="K15" s="75" t="n">
        <v>2</v>
      </c>
      <c r="L15" s="74" t="n">
        <v>5</v>
      </c>
      <c r="M15" s="74">
        <f>IFERROR(IF(L15&gt;0,K15/L15,"-"),"-")</f>
        <v/>
      </c>
      <c r="N15" s="75" t="n">
        <v>2</v>
      </c>
      <c r="O15" s="74" t="n">
        <v>12</v>
      </c>
      <c r="P15" s="74">
        <f>IFERROR(IF(O15&gt;0,N15/O15,"-"),"-")</f>
        <v/>
      </c>
      <c r="Q15" s="75" t="n">
        <v>2</v>
      </c>
      <c r="R15" s="60" t="n"/>
      <c r="S15" s="60" t="n"/>
    </row>
    <row r="16" ht="15" customHeight="1">
      <c r="A16" s="70" t="n">
        <v>9</v>
      </c>
      <c r="B16" s="71" t="inlineStr">
        <is>
          <t>Bel Collections</t>
        </is>
      </c>
      <c r="C16" s="70" t="inlineStr">
        <is>
          <t>B00007</t>
        </is>
      </c>
      <c r="D16" s="71" t="inlineStr">
        <is>
          <t>Peaceful Life</t>
        </is>
      </c>
      <c r="E16" s="70" t="n">
        <v>6</v>
      </c>
      <c r="F16" s="72">
        <f>SUM(I16:O16)</f>
        <v/>
      </c>
      <c r="G16" s="72">
        <f>SUM(J16:P16)</f>
        <v/>
      </c>
      <c r="H16" s="73">
        <f>IFERROR(IF(G16&gt;0,F16/G16,"-"),"-")</f>
        <v/>
      </c>
      <c r="I16" s="74" t="n">
        <v>35</v>
      </c>
      <c r="J16" s="74">
        <f>IFERROR(IF(I16&gt;0,H16/I16,"-"),"-")</f>
        <v/>
      </c>
      <c r="K16" s="75" t="n">
        <v>5</v>
      </c>
      <c r="L16" s="74" t="n">
        <v>38</v>
      </c>
      <c r="M16" s="74">
        <f>IFERROR(IF(L16&gt;0,K16/L16,"-"),"-")</f>
        <v/>
      </c>
      <c r="N16" s="75" t="n">
        <v>9</v>
      </c>
      <c r="O16" s="74" t="n">
        <v>101</v>
      </c>
      <c r="P16" s="74">
        <f>IFERROR(IF(O16&gt;0,N16/O16,"-"),"-")</f>
        <v/>
      </c>
      <c r="Q16" s="75" t="n">
        <v>10</v>
      </c>
      <c r="R16" s="60" t="n"/>
      <c r="S16" s="60" t="n"/>
    </row>
    <row r="17" ht="15" customHeight="1">
      <c r="A17" s="70" t="n">
        <v>10</v>
      </c>
      <c r="B17" s="71" t="inlineStr">
        <is>
          <t>Bel Collections</t>
        </is>
      </c>
      <c r="C17" s="70" t="inlineStr">
        <is>
          <t>B00008</t>
        </is>
      </c>
      <c r="D17" s="71" t="inlineStr">
        <is>
          <t>Midnight Glow</t>
        </is>
      </c>
      <c r="E17" s="70" t="n"/>
      <c r="F17" s="72">
        <f>SUM(I17:O17)</f>
        <v/>
      </c>
      <c r="G17" s="72">
        <f>SUM(J17:P17)</f>
        <v/>
      </c>
      <c r="H17" s="73">
        <f>IFERROR(IF(G17&gt;0,F17/G17,"-"),"-")</f>
        <v/>
      </c>
      <c r="I17" s="74" t="n"/>
      <c r="J17" s="74">
        <f>IFERROR(IF(I17&gt;0,H17/I17,"-"),"-")</f>
        <v/>
      </c>
      <c r="K17" s="75" t="n"/>
      <c r="L17" s="74" t="n">
        <v>2</v>
      </c>
      <c r="M17" s="74">
        <f>IFERROR(IF(L17&gt;0,K17/L17,"-"),"-")</f>
        <v/>
      </c>
      <c r="N17" s="75" t="n"/>
      <c r="O17" s="74" t="n">
        <v>3</v>
      </c>
      <c r="P17" s="74">
        <f>IFERROR(IF(O17&gt;0,N17/O17,"-"),"-")</f>
        <v/>
      </c>
      <c r="Q17" s="75" t="n">
        <v>1</v>
      </c>
      <c r="R17" s="60" t="n"/>
      <c r="S17" s="60" t="n"/>
    </row>
    <row r="18" ht="15" customHeight="1">
      <c r="A18" s="70" t="n">
        <v>11</v>
      </c>
      <c r="B18" s="71" t="inlineStr">
        <is>
          <t>Bel Collections</t>
        </is>
      </c>
      <c r="C18" s="70" t="inlineStr">
        <is>
          <t>B00010</t>
        </is>
      </c>
      <c r="D18" s="71" t="inlineStr">
        <is>
          <t>Sakura</t>
        </is>
      </c>
      <c r="E18" s="70" t="n">
        <v>1</v>
      </c>
      <c r="F18" s="72">
        <f>SUM(I18:O18)</f>
        <v/>
      </c>
      <c r="G18" s="72">
        <f>SUM(J18:P18)</f>
        <v/>
      </c>
      <c r="H18" s="73">
        <f>IFERROR(IF(G18&gt;0,F18/G18,"-"),"-")</f>
        <v/>
      </c>
      <c r="I18" s="74" t="n"/>
      <c r="J18" s="74">
        <f>IFERROR(IF(I18&gt;0,H18/I18,"-"),"-")</f>
        <v/>
      </c>
      <c r="K18" s="75" t="n">
        <v>2</v>
      </c>
      <c r="L18" s="74" t="n">
        <v>5</v>
      </c>
      <c r="M18" s="74">
        <f>IFERROR(IF(L18&gt;0,K18/L18,"-"),"-")</f>
        <v/>
      </c>
      <c r="N18" s="75" t="n"/>
      <c r="O18" s="74" t="n">
        <v>6</v>
      </c>
      <c r="P18" s="74">
        <f>IFERROR(IF(O18&gt;0,N18/O18,"-"),"-")</f>
        <v/>
      </c>
      <c r="Q18" s="75" t="n">
        <v>1</v>
      </c>
      <c r="R18" s="60" t="n"/>
      <c r="S18" s="60" t="n"/>
    </row>
    <row r="19" ht="15" customHeight="1">
      <c r="A19" s="70" t="n">
        <v>12</v>
      </c>
      <c r="B19" s="71" t="inlineStr">
        <is>
          <t>Bel Collections</t>
        </is>
      </c>
      <c r="C19" s="70" t="inlineStr">
        <is>
          <t>B00012</t>
        </is>
      </c>
      <c r="D19" s="71" t="inlineStr">
        <is>
          <t>Ambergris</t>
        </is>
      </c>
      <c r="E19" s="70" t="n"/>
      <c r="F19" s="72">
        <f>SUM(I19:O19)</f>
        <v/>
      </c>
      <c r="G19" s="72">
        <f>SUM(J19:P19)</f>
        <v/>
      </c>
      <c r="H19" s="73">
        <f>IFERROR(IF(G19&gt;0,F19/G19,"-"),"-")</f>
        <v/>
      </c>
      <c r="I19" s="74" t="n">
        <v>6</v>
      </c>
      <c r="J19" s="74">
        <f>IFERROR(IF(I19&gt;0,H19/I19,"-"),"-")</f>
        <v/>
      </c>
      <c r="K19" s="75" t="n">
        <v>1</v>
      </c>
      <c r="L19" s="74" t="n">
        <v>7</v>
      </c>
      <c r="M19" s="74">
        <f>IFERROR(IF(L19&gt;0,K19/L19,"-"),"-")</f>
        <v/>
      </c>
      <c r="N19" s="75" t="n"/>
      <c r="O19" s="74" t="n">
        <v>6</v>
      </c>
      <c r="P19" s="74">
        <f>IFERROR(IF(O19&gt;0,N19/O19,"-"),"-")</f>
        <v/>
      </c>
      <c r="Q19" s="75" t="n">
        <v>1</v>
      </c>
      <c r="R19" s="60" t="n"/>
      <c r="S19" s="60" t="n"/>
    </row>
    <row r="20" ht="15" customHeight="1">
      <c r="A20" s="70" t="n">
        <v>13</v>
      </c>
      <c r="B20" s="71" t="inlineStr">
        <is>
          <t>Bel Collections</t>
        </is>
      </c>
      <c r="C20" s="70" t="inlineStr">
        <is>
          <t>B00014</t>
        </is>
      </c>
      <c r="D20" s="71" t="inlineStr">
        <is>
          <t>Firewood</t>
        </is>
      </c>
      <c r="E20" s="70" t="n">
        <v>2</v>
      </c>
      <c r="F20" s="72">
        <f>SUM(I20:O20)</f>
        <v/>
      </c>
      <c r="G20" s="72">
        <f>SUM(J20:P20)</f>
        <v/>
      </c>
      <c r="H20" s="73">
        <f>IFERROR(IF(G20&gt;0,F20/G20,"-"),"-")</f>
        <v/>
      </c>
      <c r="I20" s="74" t="n">
        <v>26</v>
      </c>
      <c r="J20" s="74">
        <f>IFERROR(IF(I20&gt;0,H20/I20,"-"),"-")</f>
        <v/>
      </c>
      <c r="K20" s="75" t="n">
        <v>4</v>
      </c>
      <c r="L20" s="74" t="n">
        <v>43</v>
      </c>
      <c r="M20" s="74">
        <f>IFERROR(IF(L20&gt;0,K20/L20,"-"),"-")</f>
        <v/>
      </c>
      <c r="N20" s="75" t="n">
        <v>10</v>
      </c>
      <c r="O20" s="74" t="n">
        <v>69</v>
      </c>
      <c r="P20" s="74">
        <f>IFERROR(IF(O20&gt;0,N20/O20,"-"),"-")</f>
        <v/>
      </c>
      <c r="Q20" s="75" t="n">
        <v>8</v>
      </c>
      <c r="R20" s="60" t="n"/>
      <c r="S20" s="60" t="n"/>
    </row>
    <row r="21" ht="15" customHeight="1">
      <c r="A21" s="70" t="n">
        <v>14</v>
      </c>
      <c r="B21" s="71" t="inlineStr">
        <is>
          <t>Bel Collections</t>
        </is>
      </c>
      <c r="C21" s="70" t="inlineStr">
        <is>
          <t>B00015</t>
        </is>
      </c>
      <c r="D21" s="71" t="inlineStr">
        <is>
          <t>Hidden Leather</t>
        </is>
      </c>
      <c r="E21" s="70" t="n"/>
      <c r="F21" s="72">
        <f>SUM(I21:O21)</f>
        <v/>
      </c>
      <c r="G21" s="72">
        <f>SUM(J21:P21)</f>
        <v/>
      </c>
      <c r="H21" s="73">
        <f>IFERROR(IF(G21&gt;0,F21/G21,"-"),"-")</f>
        <v/>
      </c>
      <c r="I21" s="74" t="n">
        <v>3</v>
      </c>
      <c r="J21" s="74">
        <f>IFERROR(IF(I21&gt;0,H21/I21,"-"),"-")</f>
        <v/>
      </c>
      <c r="K21" s="75" t="n"/>
      <c r="L21" s="74" t="n">
        <v>2</v>
      </c>
      <c r="M21" s="74">
        <f>IFERROR(IF(L21&gt;0,K21/L21,"-"),"-")</f>
        <v/>
      </c>
      <c r="N21" s="75" t="n">
        <v>1</v>
      </c>
      <c r="O21" s="74" t="n">
        <v>9</v>
      </c>
      <c r="P21" s="74">
        <f>IFERROR(IF(O21&gt;0,N21/O21,"-"),"-")</f>
        <v/>
      </c>
      <c r="Q21" s="75" t="n">
        <v>1</v>
      </c>
      <c r="R21" s="60" t="n"/>
      <c r="S21" s="60" t="n"/>
    </row>
    <row r="22" ht="15" customHeight="1">
      <c r="A22" s="70" t="n">
        <v>15</v>
      </c>
      <c r="B22" s="71" t="inlineStr">
        <is>
          <t>Bel Collections</t>
        </is>
      </c>
      <c r="C22" s="70" t="inlineStr">
        <is>
          <t>B00016</t>
        </is>
      </c>
      <c r="D22" s="71" t="inlineStr">
        <is>
          <t>Mysterious Rose</t>
        </is>
      </c>
      <c r="E22" s="70" t="n">
        <v>3</v>
      </c>
      <c r="F22" s="72">
        <f>SUM(I22:O22)</f>
        <v/>
      </c>
      <c r="G22" s="72">
        <f>SUM(J22:P22)</f>
        <v/>
      </c>
      <c r="H22" s="73">
        <f>IFERROR(IF(G22&gt;0,F22/G22,"-"),"-")</f>
        <v/>
      </c>
      <c r="I22" s="74" t="n">
        <v>10</v>
      </c>
      <c r="J22" s="74">
        <f>IFERROR(IF(I22&gt;0,H22/I22,"-"),"-")</f>
        <v/>
      </c>
      <c r="K22" s="75" t="n">
        <v>2</v>
      </c>
      <c r="L22" s="74" t="n">
        <v>10</v>
      </c>
      <c r="M22" s="74">
        <f>IFERROR(IF(L22&gt;0,K22/L22,"-"),"-")</f>
        <v/>
      </c>
      <c r="N22" s="75" t="n">
        <v>2</v>
      </c>
      <c r="O22" s="74" t="n">
        <v>12</v>
      </c>
      <c r="P22" s="74">
        <f>IFERROR(IF(O22&gt;0,N22/O22,"-"),"-")</f>
        <v/>
      </c>
      <c r="Q22" s="75" t="n">
        <v>2</v>
      </c>
      <c r="R22" s="60" t="n"/>
      <c r="S22" s="60" t="n"/>
    </row>
    <row r="23" ht="15" customHeight="1">
      <c r="A23" s="70" t="n">
        <v>16</v>
      </c>
      <c r="B23" s="71" t="inlineStr">
        <is>
          <t>Bel Collections</t>
        </is>
      </c>
      <c r="C23" s="70" t="inlineStr">
        <is>
          <t>B00017</t>
        </is>
      </c>
      <c r="D23" s="71" t="inlineStr">
        <is>
          <t>Thekrayat</t>
        </is>
      </c>
      <c r="E23" s="70" t="n"/>
      <c r="F23" s="72">
        <f>SUM(I23:O23)</f>
        <v/>
      </c>
      <c r="G23" s="72">
        <f>SUM(J23:P23)</f>
        <v/>
      </c>
      <c r="H23" s="73">
        <f>IFERROR(IF(G23&gt;0,F23/G23,"-"),"-")</f>
        <v/>
      </c>
      <c r="I23" s="74" t="n">
        <v>4</v>
      </c>
      <c r="J23" s="74">
        <f>IFERROR(IF(I23&gt;0,H23/I23,"-"),"-")</f>
        <v/>
      </c>
      <c r="K23" s="75" t="n">
        <v>1</v>
      </c>
      <c r="L23" s="74" t="n">
        <v>7</v>
      </c>
      <c r="M23" s="74">
        <f>IFERROR(IF(L23&gt;0,K23/L23,"-"),"-")</f>
        <v/>
      </c>
      <c r="N23" s="75" t="n">
        <v>1</v>
      </c>
      <c r="O23" s="74" t="n">
        <v>12</v>
      </c>
      <c r="P23" s="74">
        <f>IFERROR(IF(O23&gt;0,N23/O23,"-"),"-")</f>
        <v/>
      </c>
      <c r="Q23" s="75" t="n">
        <v>1</v>
      </c>
      <c r="R23" s="60" t="n"/>
      <c r="S23" s="60" t="n"/>
    </row>
    <row r="24" ht="15" customHeight="1">
      <c r="A24" s="70" t="n">
        <v>17</v>
      </c>
      <c r="B24" s="71" t="inlineStr">
        <is>
          <t>Bel Collections</t>
        </is>
      </c>
      <c r="C24" s="70" t="inlineStr">
        <is>
          <t>B00018</t>
        </is>
      </c>
      <c r="D24" s="71" t="inlineStr">
        <is>
          <t>Hidden Tobacco</t>
        </is>
      </c>
      <c r="E24" s="70" t="n">
        <v>2</v>
      </c>
      <c r="F24" s="72">
        <f>SUM(I24:O24)</f>
        <v/>
      </c>
      <c r="G24" s="72">
        <f>SUM(J24:P24)</f>
        <v/>
      </c>
      <c r="H24" s="73">
        <f>IFERROR(IF(G24&gt;0,F24/G24,"-"),"-")</f>
        <v/>
      </c>
      <c r="I24" s="74" t="n">
        <v>15</v>
      </c>
      <c r="J24" s="74">
        <f>IFERROR(IF(I24&gt;0,H24/I24,"-"),"-")</f>
        <v/>
      </c>
      <c r="K24" s="75" t="n">
        <v>4</v>
      </c>
      <c r="L24" s="74" t="n">
        <v>12</v>
      </c>
      <c r="M24" s="74">
        <f>IFERROR(IF(L24&gt;0,K24/L24,"-"),"-")</f>
        <v/>
      </c>
      <c r="N24" s="75" t="n">
        <v>5</v>
      </c>
      <c r="O24" s="74" t="n">
        <v>10</v>
      </c>
      <c r="P24" s="74">
        <f>IFERROR(IF(O24&gt;0,N24/O24,"-"),"-")</f>
        <v/>
      </c>
      <c r="Q24" s="75" t="n">
        <v>2</v>
      </c>
      <c r="R24" s="60" t="n"/>
      <c r="S24" s="60" t="n"/>
    </row>
    <row r="25" ht="15" customHeight="1">
      <c r="A25" s="70" t="n">
        <v>18</v>
      </c>
      <c r="B25" s="71" t="inlineStr">
        <is>
          <t>Bel Collections</t>
        </is>
      </c>
      <c r="C25" s="70" t="inlineStr">
        <is>
          <t>B00019</t>
        </is>
      </c>
      <c r="D25" s="71" t="inlineStr">
        <is>
          <t>Masters Perfume 100ml</t>
        </is>
      </c>
      <c r="E25" s="70" t="n">
        <v>3</v>
      </c>
      <c r="F25" s="72">
        <f>SUM(I25:O25)</f>
        <v/>
      </c>
      <c r="G25" s="72">
        <f>SUM(J25:P25)</f>
        <v/>
      </c>
      <c r="H25" s="73">
        <f>IFERROR(IF(G25&gt;0,F25/G25,"-"),"-")</f>
        <v/>
      </c>
      <c r="I25" s="74" t="n">
        <v>16</v>
      </c>
      <c r="J25" s="74">
        <f>IFERROR(IF(I25&gt;0,H25/I25,"-"),"-")</f>
        <v/>
      </c>
      <c r="K25" s="75" t="n">
        <v>2</v>
      </c>
      <c r="L25" s="74" t="n"/>
      <c r="M25" s="74">
        <f>IFERROR(IF(L25&gt;0,K25/L25,"-"),"-")</f>
        <v/>
      </c>
      <c r="N25" s="75" t="n">
        <v>2</v>
      </c>
      <c r="O25" s="74" t="n">
        <v>16</v>
      </c>
      <c r="P25" s="74">
        <f>IFERROR(IF(O25&gt;0,N25/O25,"-"),"-")</f>
        <v/>
      </c>
      <c r="Q25" s="75" t="n">
        <v>6</v>
      </c>
      <c r="R25" s="60" t="n"/>
      <c r="S25" s="60" t="n"/>
    </row>
    <row r="26" ht="15" customHeight="1">
      <c r="A26" s="70" t="n">
        <v>19</v>
      </c>
      <c r="B26" s="71" t="inlineStr">
        <is>
          <t>Bel Collections</t>
        </is>
      </c>
      <c r="C26" s="70" t="inlineStr">
        <is>
          <t>B00020</t>
        </is>
      </c>
      <c r="D26" s="71" t="inlineStr">
        <is>
          <t>Masters Signature 100ml Perfume - Tester</t>
        </is>
      </c>
      <c r="E26" s="70" t="n">
        <v>7</v>
      </c>
      <c r="F26" s="72">
        <f>SUM(I26:O26)</f>
        <v/>
      </c>
      <c r="G26" s="72">
        <f>SUM(J26:P26)</f>
        <v/>
      </c>
      <c r="H26" s="73">
        <f>IFERROR(IF(G26&gt;0,F26/G26,"-"),"-")</f>
        <v/>
      </c>
      <c r="I26" s="74" t="n">
        <v>64</v>
      </c>
      <c r="J26" s="74">
        <f>IFERROR(IF(I26&gt;0,H26/I26,"-"),"-")</f>
        <v/>
      </c>
      <c r="K26" s="75" t="n">
        <v>6</v>
      </c>
      <c r="L26" s="74" t="n"/>
      <c r="M26" s="74">
        <f>IFERROR(IF(L26&gt;0,K26/L26,"-"),"-")</f>
        <v/>
      </c>
      <c r="N26" s="75" t="n">
        <v>6</v>
      </c>
      <c r="O26" s="74" t="n">
        <v>54</v>
      </c>
      <c r="P26" s="74">
        <f>IFERROR(IF(O26&gt;0,N26/O26,"-"),"-")</f>
        <v/>
      </c>
      <c r="Q26" s="75" t="n">
        <v>10</v>
      </c>
      <c r="R26" s="60" t="n"/>
      <c r="S26" s="60" t="n"/>
    </row>
    <row r="27" ht="15" customHeight="1">
      <c r="A27" s="70" t="n">
        <v>20</v>
      </c>
      <c r="B27" s="71" t="inlineStr">
        <is>
          <t>Bel Collections</t>
        </is>
      </c>
      <c r="C27" s="70" t="inlineStr">
        <is>
          <t>B00021</t>
        </is>
      </c>
      <c r="D27" s="71" t="inlineStr">
        <is>
          <t>Midnight Bloom 100 ML</t>
        </is>
      </c>
      <c r="E27" s="70" t="n"/>
      <c r="F27" s="72">
        <f>SUM(I27:O27)</f>
        <v/>
      </c>
      <c r="G27" s="72">
        <f>SUM(J27:P27)</f>
        <v/>
      </c>
      <c r="H27" s="73">
        <f>IFERROR(IF(G27&gt;0,F27/G27,"-"),"-")</f>
        <v/>
      </c>
      <c r="I27" s="74" t="n"/>
      <c r="J27" s="74">
        <f>IFERROR(IF(I27&gt;0,H27/I27,"-"),"-")</f>
        <v/>
      </c>
      <c r="K27" s="75" t="n"/>
      <c r="L27" s="74" t="n"/>
      <c r="M27" s="74">
        <f>IFERROR(IF(L27&gt;0,K27/L27,"-"),"-")</f>
        <v/>
      </c>
      <c r="N27" s="75" t="n">
        <v>1</v>
      </c>
      <c r="O27" s="74" t="n"/>
      <c r="P27" s="74">
        <f>IFERROR(IF(O27&gt;0,N27/O27,"-"),"-")</f>
        <v/>
      </c>
      <c r="Q27" s="75" t="n"/>
      <c r="R27" s="60" t="n"/>
      <c r="S27" s="60" t="n"/>
    </row>
    <row r="28" ht="15" customHeight="1">
      <c r="A28" s="76" t="inlineStr">
        <is>
          <t xml:space="preserve">  CABALLO COLLECTION</t>
        </is>
      </c>
      <c r="B28" s="77" t="n"/>
      <c r="C28" s="77" t="n"/>
      <c r="D28" s="77" t="n"/>
      <c r="E28" s="77" t="n"/>
      <c r="F28" s="72">
        <f>SUM(I28:O28)</f>
        <v/>
      </c>
      <c r="G28" s="72">
        <f>SUM(J28:P28)</f>
        <v/>
      </c>
      <c r="H28" s="73">
        <f>IFERROR(IF(G28&gt;0,F28/G28,"-"),"-")</f>
        <v/>
      </c>
      <c r="I28" s="74" t="n"/>
      <c r="J28" s="74">
        <f>IFERROR(IF(I28&gt;0,H28/I28,"-"),"-")</f>
        <v/>
      </c>
      <c r="K28" s="75" t="n"/>
      <c r="L28" s="74" t="n"/>
      <c r="M28" s="74">
        <f>IFERROR(IF(L28&gt;0,K28/L28,"-"),"-")</f>
        <v/>
      </c>
      <c r="N28" s="75" t="n"/>
      <c r="O28" s="74" t="n"/>
      <c r="P28" s="74">
        <f>IFERROR(IF(O28&gt;0,N28/O28,"-"),"-")</f>
        <v/>
      </c>
      <c r="Q28" s="75" t="n"/>
      <c r="R28" s="59" t="n"/>
      <c r="S28" s="59" t="n"/>
    </row>
    <row r="29" ht="15" customHeight="1">
      <c r="A29" s="70" t="n">
        <v>21</v>
      </c>
      <c r="B29" s="71" t="inlineStr">
        <is>
          <t>Caballo Collection</t>
        </is>
      </c>
      <c r="C29" s="70" t="inlineStr">
        <is>
          <t>C00004</t>
        </is>
      </c>
      <c r="D29" s="71" t="inlineStr">
        <is>
          <t>Maroon Perfume 100 ML</t>
        </is>
      </c>
      <c r="E29" s="70" t="n"/>
      <c r="F29" s="72">
        <f>SUM(I29:O29)</f>
        <v/>
      </c>
      <c r="G29" s="72">
        <f>SUM(J29:P29)</f>
        <v/>
      </c>
      <c r="H29" s="73">
        <f>IFERROR(IF(G29&gt;0,F29/G29,"-"),"-")</f>
        <v/>
      </c>
      <c r="I29" s="74" t="n">
        <v>17</v>
      </c>
      <c r="J29" s="74">
        <f>IFERROR(IF(I29&gt;0,H29/I29,"-"),"-")</f>
        <v/>
      </c>
      <c r="K29" s="75" t="n"/>
      <c r="L29" s="74" t="n">
        <v>43</v>
      </c>
      <c r="M29" s="74">
        <f>IFERROR(IF(L29&gt;0,K29/L29,"-"),"-")</f>
        <v/>
      </c>
      <c r="N29" s="75" t="n"/>
      <c r="O29" s="74" t="n">
        <v>58</v>
      </c>
      <c r="P29" s="74">
        <f>IFERROR(IF(O29&gt;0,N29/O29,"-"),"-")</f>
        <v/>
      </c>
      <c r="Q29" s="75" t="n"/>
      <c r="R29" s="60" t="n"/>
      <c r="S29" s="60" t="n"/>
    </row>
    <row r="30" ht="15" customHeight="1">
      <c r="A30" s="70" t="n">
        <v>22</v>
      </c>
      <c r="B30" s="71" t="inlineStr">
        <is>
          <t>Caballo Collection</t>
        </is>
      </c>
      <c r="C30" s="70" t="inlineStr">
        <is>
          <t>C00011</t>
        </is>
      </c>
      <c r="D30" s="71" t="inlineStr">
        <is>
          <t>Violet Perfume 100ml</t>
        </is>
      </c>
      <c r="E30" s="70" t="n">
        <v>1</v>
      </c>
      <c r="F30" s="72">
        <f>SUM(I30:O30)</f>
        <v/>
      </c>
      <c r="G30" s="72">
        <f>SUM(J30:P30)</f>
        <v/>
      </c>
      <c r="H30" s="73">
        <f>IFERROR(IF(G30&gt;0,F30/G30,"-"),"-")</f>
        <v/>
      </c>
      <c r="I30" s="74" t="n">
        <v>5</v>
      </c>
      <c r="J30" s="74">
        <f>IFERROR(IF(I30&gt;0,H30/I30,"-"),"-")</f>
        <v/>
      </c>
      <c r="K30" s="75" t="n"/>
      <c r="L30" s="74" t="n">
        <v>10</v>
      </c>
      <c r="M30" s="74">
        <f>IFERROR(IF(L30&gt;0,K30/L30,"-"),"-")</f>
        <v/>
      </c>
      <c r="N30" s="75" t="n">
        <v>1</v>
      </c>
      <c r="O30" s="74" t="n">
        <v>9</v>
      </c>
      <c r="P30" s="74">
        <f>IFERROR(IF(O30&gt;0,N30/O30,"-"),"-")</f>
        <v/>
      </c>
      <c r="Q30" s="75" t="n">
        <v>2</v>
      </c>
      <c r="R30" s="60" t="n"/>
      <c r="S30" s="60" t="n"/>
    </row>
    <row r="31" ht="15" customHeight="1">
      <c r="A31" s="70" t="n">
        <v>23</v>
      </c>
      <c r="B31" s="71" t="inlineStr">
        <is>
          <t>Caballo Collection</t>
        </is>
      </c>
      <c r="C31" s="70" t="inlineStr">
        <is>
          <t>C00012</t>
        </is>
      </c>
      <c r="D31" s="71" t="inlineStr">
        <is>
          <t>Navy Perfume 100ml</t>
        </is>
      </c>
      <c r="E31" s="70" t="n"/>
      <c r="F31" s="72">
        <f>SUM(I31:O31)</f>
        <v/>
      </c>
      <c r="G31" s="72">
        <f>SUM(J31:P31)</f>
        <v/>
      </c>
      <c r="H31" s="73">
        <f>IFERROR(IF(G31&gt;0,F31/G31,"-"),"-")</f>
        <v/>
      </c>
      <c r="I31" s="74" t="n"/>
      <c r="J31" s="74">
        <f>IFERROR(IF(I31&gt;0,H31/I31,"-"),"-")</f>
        <v/>
      </c>
      <c r="K31" s="75" t="n"/>
      <c r="L31" s="74" t="n">
        <v>3</v>
      </c>
      <c r="M31" s="74">
        <f>IFERROR(IF(L31&gt;0,K31/L31,"-"),"-")</f>
        <v/>
      </c>
      <c r="N31" s="75" t="n">
        <v>1</v>
      </c>
      <c r="O31" s="74" t="n">
        <v>5</v>
      </c>
      <c r="P31" s="74">
        <f>IFERROR(IF(O31&gt;0,N31/O31,"-"),"-")</f>
        <v/>
      </c>
      <c r="Q31" s="75" t="n">
        <v>1</v>
      </c>
      <c r="R31" s="60" t="n"/>
      <c r="S31" s="60" t="n"/>
    </row>
    <row r="32" ht="15" customHeight="1">
      <c r="A32" s="70" t="n">
        <v>24</v>
      </c>
      <c r="B32" s="71" t="inlineStr">
        <is>
          <t>Caballo Collection</t>
        </is>
      </c>
      <c r="C32" s="70" t="inlineStr">
        <is>
          <t>C00013</t>
        </is>
      </c>
      <c r="D32" s="71" t="inlineStr">
        <is>
          <t>White Overdose Perfume 100ml</t>
        </is>
      </c>
      <c r="E32" s="70" t="n"/>
      <c r="F32" s="72">
        <f>SUM(I32:O32)</f>
        <v/>
      </c>
      <c r="G32" s="72">
        <f>SUM(J32:P32)</f>
        <v/>
      </c>
      <c r="H32" s="73">
        <f>IFERROR(IF(G32&gt;0,F32/G32,"-"),"-")</f>
        <v/>
      </c>
      <c r="I32" s="74" t="n"/>
      <c r="J32" s="74">
        <f>IFERROR(IF(I32&gt;0,H32/I32,"-"),"-")</f>
        <v/>
      </c>
      <c r="K32" s="75" t="n"/>
      <c r="L32" s="74" t="n"/>
      <c r="M32" s="74">
        <f>IFERROR(IF(L32&gt;0,K32/L32,"-"),"-")</f>
        <v/>
      </c>
      <c r="N32" s="75" t="n"/>
      <c r="O32" s="74" t="n">
        <v>1</v>
      </c>
      <c r="P32" s="74">
        <f>IFERROR(IF(O32&gt;0,N32/O32,"-"),"-")</f>
        <v/>
      </c>
      <c r="Q32" s="75" t="n"/>
      <c r="R32" s="60" t="n"/>
      <c r="S32" s="60" t="n"/>
    </row>
    <row r="33" ht="15" customHeight="1">
      <c r="A33" s="70" t="n">
        <v>25</v>
      </c>
      <c r="B33" s="71" t="inlineStr">
        <is>
          <t>Caballo Collection</t>
        </is>
      </c>
      <c r="C33" s="70" t="inlineStr">
        <is>
          <t>C00014</t>
        </is>
      </c>
      <c r="D33" s="71" t="inlineStr">
        <is>
          <t>Black Perfume 100ml</t>
        </is>
      </c>
      <c r="E33" s="70" t="n"/>
      <c r="F33" s="72">
        <f>SUM(I33:O33)</f>
        <v/>
      </c>
      <c r="G33" s="72">
        <f>SUM(J33:P33)</f>
        <v/>
      </c>
      <c r="H33" s="73">
        <f>IFERROR(IF(G33&gt;0,F33/G33,"-"),"-")</f>
        <v/>
      </c>
      <c r="I33" s="74" t="n"/>
      <c r="J33" s="74">
        <f>IFERROR(IF(I33&gt;0,H33/I33,"-"),"-")</f>
        <v/>
      </c>
      <c r="K33" s="75" t="n"/>
      <c r="L33" s="74" t="n"/>
      <c r="M33" s="74">
        <f>IFERROR(IF(L33&gt;0,K33/L33,"-"),"-")</f>
        <v/>
      </c>
      <c r="N33" s="75" t="n"/>
      <c r="O33" s="74" t="n"/>
      <c r="P33" s="74">
        <f>IFERROR(IF(O33&gt;0,N33/O33,"-"),"-")</f>
        <v/>
      </c>
      <c r="Q33" s="75" t="n">
        <v>1</v>
      </c>
      <c r="R33" s="60" t="n"/>
      <c r="S33" s="60" t="n"/>
    </row>
    <row r="34" ht="15" customHeight="1">
      <c r="A34" s="76" t="inlineStr">
        <is>
          <t xml:space="preserve">  DAKHOON COLLECTION</t>
        </is>
      </c>
      <c r="B34" s="77" t="n"/>
      <c r="C34" s="77" t="n"/>
      <c r="D34" s="77" t="n"/>
      <c r="E34" s="77" t="n">
        <v>1</v>
      </c>
      <c r="F34" s="72">
        <f>SUM(I34:O34)</f>
        <v/>
      </c>
      <c r="G34" s="72">
        <f>SUM(J34:P34)</f>
        <v/>
      </c>
      <c r="H34" s="73">
        <f>IFERROR(IF(G34&gt;0,F34/G34,"-"),"-")</f>
        <v/>
      </c>
      <c r="I34" s="74" t="n">
        <v>5</v>
      </c>
      <c r="J34" s="74">
        <f>IFERROR(IF(I34&gt;0,H34/I34,"-"),"-")</f>
        <v/>
      </c>
      <c r="K34" s="75" t="n">
        <v>2</v>
      </c>
      <c r="L34" s="74" t="n">
        <v>11</v>
      </c>
      <c r="M34" s="74">
        <f>IFERROR(IF(L34&gt;0,K34/L34,"-"),"-")</f>
        <v/>
      </c>
      <c r="N34" s="75" t="n">
        <v>3</v>
      </c>
      <c r="O34" s="74" t="n">
        <v>26</v>
      </c>
      <c r="P34" s="74">
        <f>IFERROR(IF(O34&gt;0,N34/O34,"-"),"-")</f>
        <v/>
      </c>
      <c r="Q34" s="75" t="n">
        <v>3</v>
      </c>
      <c r="R34" s="59" t="n"/>
      <c r="S34" s="59" t="n"/>
    </row>
    <row r="35" ht="15" customHeight="1">
      <c r="A35" s="70" t="n">
        <v>26</v>
      </c>
      <c r="B35" s="71" t="inlineStr">
        <is>
          <t>Dakhoon Collection</t>
        </is>
      </c>
      <c r="C35" s="70" t="inlineStr">
        <is>
          <t>D00001</t>
        </is>
      </c>
      <c r="D35" s="71" t="inlineStr">
        <is>
          <t>Dakhoon Al Emarat</t>
        </is>
      </c>
      <c r="E35" s="70" t="n"/>
      <c r="F35" s="72">
        <f>SUM(I35:O35)</f>
        <v/>
      </c>
      <c r="G35" s="72">
        <f>SUM(J35:P35)</f>
        <v/>
      </c>
      <c r="H35" s="73">
        <f>IFERROR(IF(G35&gt;0,F35/G35,"-"),"-")</f>
        <v/>
      </c>
      <c r="I35" s="74" t="n"/>
      <c r="J35" s="74">
        <f>IFERROR(IF(I35&gt;0,H35/I35,"-"),"-")</f>
        <v/>
      </c>
      <c r="K35" s="75" t="n"/>
      <c r="L35" s="74" t="n"/>
      <c r="M35" s="74">
        <f>IFERROR(IF(L35&gt;0,K35/L35,"-"),"-")</f>
        <v/>
      </c>
      <c r="N35" s="75" t="n">
        <v>1</v>
      </c>
      <c r="O35" s="74" t="n">
        <v>2</v>
      </c>
      <c r="P35" s="74">
        <f>IFERROR(IF(O35&gt;0,N35/O35,"-"),"-")</f>
        <v/>
      </c>
      <c r="Q35" s="75" t="n">
        <v>1</v>
      </c>
      <c r="R35" s="60" t="n"/>
      <c r="S35" s="60" t="n"/>
    </row>
    <row r="36" ht="15" customHeight="1">
      <c r="A36" s="70" t="n">
        <v>27</v>
      </c>
      <c r="B36" s="71" t="inlineStr">
        <is>
          <t>Dakhoon Collection</t>
        </is>
      </c>
      <c r="C36" s="70" t="inlineStr">
        <is>
          <t>D00002</t>
        </is>
      </c>
      <c r="D36" s="71" t="inlineStr">
        <is>
          <t>Dakhoon Al Marasim</t>
        </is>
      </c>
      <c r="E36" s="70" t="n">
        <v>4</v>
      </c>
      <c r="F36" s="72">
        <f>SUM(I36:O36)</f>
        <v/>
      </c>
      <c r="G36" s="72">
        <f>SUM(J36:P36)</f>
        <v/>
      </c>
      <c r="H36" s="73">
        <f>IFERROR(IF(G36&gt;0,F36/G36,"-"),"-")</f>
        <v/>
      </c>
      <c r="I36" s="74" t="n">
        <v>9</v>
      </c>
      <c r="J36" s="74">
        <f>IFERROR(IF(I36&gt;0,H36/I36,"-"),"-")</f>
        <v/>
      </c>
      <c r="K36" s="75" t="n">
        <v>4</v>
      </c>
      <c r="L36" s="74" t="n">
        <v>21</v>
      </c>
      <c r="M36" s="74">
        <f>IFERROR(IF(L36&gt;0,K36/L36,"-"),"-")</f>
        <v/>
      </c>
      <c r="N36" s="75" t="n">
        <v>4</v>
      </c>
      <c r="O36" s="74" t="n">
        <v>30</v>
      </c>
      <c r="P36" s="74">
        <f>IFERROR(IF(O36&gt;0,N36/O36,"-"),"-")</f>
        <v/>
      </c>
      <c r="Q36" s="75" t="n">
        <v>2</v>
      </c>
      <c r="R36" s="60" t="n"/>
      <c r="S36" s="60" t="n"/>
    </row>
    <row r="37" ht="15" customHeight="1">
      <c r="A37" s="70" t="n">
        <v>28</v>
      </c>
      <c r="B37" s="71" t="inlineStr">
        <is>
          <t>Dakhoon Collection</t>
        </is>
      </c>
      <c r="C37" s="70" t="inlineStr">
        <is>
          <t>D00003</t>
        </is>
      </c>
      <c r="D37" s="71" t="inlineStr">
        <is>
          <t>Dakhoon Badia</t>
        </is>
      </c>
      <c r="E37" s="70" t="n">
        <v>1</v>
      </c>
      <c r="F37" s="72">
        <f>SUM(I37:O37)</f>
        <v/>
      </c>
      <c r="G37" s="72">
        <f>SUM(J37:P37)</f>
        <v/>
      </c>
      <c r="H37" s="73">
        <f>IFERROR(IF(G37&gt;0,F37/G37,"-"),"-")</f>
        <v/>
      </c>
      <c r="I37" s="74" t="n">
        <v>2</v>
      </c>
      <c r="J37" s="74">
        <f>IFERROR(IF(I37&gt;0,H37/I37,"-"),"-")</f>
        <v/>
      </c>
      <c r="K37" s="75" t="n">
        <v>1</v>
      </c>
      <c r="L37" s="74" t="n">
        <v>1</v>
      </c>
      <c r="M37" s="74">
        <f>IFERROR(IF(L37&gt;0,K37/L37,"-"),"-")</f>
        <v/>
      </c>
      <c r="N37" s="75" t="n">
        <v>2</v>
      </c>
      <c r="O37" s="74" t="n">
        <v>2</v>
      </c>
      <c r="P37" s="74">
        <f>IFERROR(IF(O37&gt;0,N37/O37,"-"),"-")</f>
        <v/>
      </c>
      <c r="Q37" s="75" t="n"/>
      <c r="R37" s="60" t="n"/>
      <c r="S37" s="60" t="n"/>
    </row>
    <row r="38" ht="15" customHeight="1">
      <c r="A38" s="70" t="n">
        <v>29</v>
      </c>
      <c r="B38" s="71" t="inlineStr">
        <is>
          <t>Dakhoon Collection</t>
        </is>
      </c>
      <c r="C38" s="70" t="inlineStr">
        <is>
          <t>D00004</t>
        </is>
      </c>
      <c r="D38" s="71" t="inlineStr">
        <is>
          <t>Dakhoon Al Dar</t>
        </is>
      </c>
      <c r="E38" s="70" t="n"/>
      <c r="F38" s="72">
        <f>SUM(I38:O38)</f>
        <v/>
      </c>
      <c r="G38" s="72">
        <f>SUM(J38:P38)</f>
        <v/>
      </c>
      <c r="H38" s="73">
        <f>IFERROR(IF(G38&gt;0,F38/G38,"-"),"-")</f>
        <v/>
      </c>
      <c r="I38" s="74" t="n">
        <v>2</v>
      </c>
      <c r="J38" s="74">
        <f>IFERROR(IF(I38&gt;0,H38/I38,"-"),"-")</f>
        <v/>
      </c>
      <c r="K38" s="75" t="n">
        <v>2</v>
      </c>
      <c r="L38" s="74" t="n">
        <v>4</v>
      </c>
      <c r="M38" s="74">
        <f>IFERROR(IF(L38&gt;0,K38/L38,"-"),"-")</f>
        <v/>
      </c>
      <c r="N38" s="75" t="n">
        <v>2</v>
      </c>
      <c r="O38" s="74" t="n">
        <v>6</v>
      </c>
      <c r="P38" s="74">
        <f>IFERROR(IF(O38&gt;0,N38/O38,"-"),"-")</f>
        <v/>
      </c>
      <c r="Q38" s="75" t="n">
        <v>1</v>
      </c>
      <c r="R38" s="60" t="n"/>
      <c r="S38" s="60" t="n"/>
    </row>
    <row r="39" ht="15" customHeight="1">
      <c r="A39" s="70" t="n">
        <v>30</v>
      </c>
      <c r="B39" s="71" t="inlineStr">
        <is>
          <t>Dakhoon Collection</t>
        </is>
      </c>
      <c r="C39" s="70" t="inlineStr">
        <is>
          <t>D00005</t>
        </is>
      </c>
      <c r="D39" s="71" t="inlineStr">
        <is>
          <t>Dakhoon Al Barzah</t>
        </is>
      </c>
      <c r="E39" s="70" t="n">
        <v>3</v>
      </c>
      <c r="F39" s="72">
        <f>SUM(I39:O39)</f>
        <v/>
      </c>
      <c r="G39" s="72">
        <f>SUM(J39:P39)</f>
        <v/>
      </c>
      <c r="H39" s="73">
        <f>IFERROR(IF(G39&gt;0,F39/G39,"-"),"-")</f>
        <v/>
      </c>
      <c r="I39" s="74" t="n">
        <v>9</v>
      </c>
      <c r="J39" s="74">
        <f>IFERROR(IF(I39&gt;0,H39/I39,"-"),"-")</f>
        <v/>
      </c>
      <c r="K39" s="75" t="n">
        <v>1</v>
      </c>
      <c r="L39" s="74" t="n">
        <v>13</v>
      </c>
      <c r="M39" s="74">
        <f>IFERROR(IF(L39&gt;0,K39/L39,"-"),"-")</f>
        <v/>
      </c>
      <c r="N39" s="75" t="n">
        <v>1</v>
      </c>
      <c r="O39" s="74" t="n">
        <v>22</v>
      </c>
      <c r="P39" s="74">
        <f>IFERROR(IF(O39&gt;0,N39/O39,"-"),"-")</f>
        <v/>
      </c>
      <c r="Q39" s="75" t="n">
        <v>2</v>
      </c>
      <c r="R39" s="60" t="n"/>
      <c r="S39" s="60" t="n"/>
    </row>
    <row r="40" ht="15" customHeight="1">
      <c r="A40" s="70" t="n">
        <v>31</v>
      </c>
      <c r="B40" s="71" t="inlineStr">
        <is>
          <t>Dakhoon Collection</t>
        </is>
      </c>
      <c r="C40" s="70" t="inlineStr">
        <is>
          <t>D00008</t>
        </is>
      </c>
      <c r="D40" s="71" t="inlineStr">
        <is>
          <t>Dakhoon Retaj</t>
        </is>
      </c>
      <c r="E40" s="70" t="n"/>
      <c r="F40" s="72">
        <f>SUM(I40:O40)</f>
        <v/>
      </c>
      <c r="G40" s="72">
        <f>SUM(J40:P40)</f>
        <v/>
      </c>
      <c r="H40" s="73">
        <f>IFERROR(IF(G40&gt;0,F40/G40,"-"),"-")</f>
        <v/>
      </c>
      <c r="I40" s="74" t="n"/>
      <c r="J40" s="74">
        <f>IFERROR(IF(I40&gt;0,H40/I40,"-"),"-")</f>
        <v/>
      </c>
      <c r="K40" s="75" t="n">
        <v>1</v>
      </c>
      <c r="L40" s="74" t="n"/>
      <c r="M40" s="74">
        <f>IFERROR(IF(L40&gt;0,K40/L40,"-"),"-")</f>
        <v/>
      </c>
      <c r="N40" s="75" t="n">
        <v>1</v>
      </c>
      <c r="O40" s="74" t="n">
        <v>2</v>
      </c>
      <c r="P40" s="74">
        <f>IFERROR(IF(O40&gt;0,N40/O40,"-"),"-")</f>
        <v/>
      </c>
      <c r="Q40" s="75" t="n">
        <v>1</v>
      </c>
      <c r="R40" s="60" t="n"/>
      <c r="S40" s="60" t="n"/>
    </row>
    <row r="41" ht="15" customHeight="1">
      <c r="A41" s="76" t="inlineStr">
        <is>
          <t xml:space="preserve">  OUD COLLECTION</t>
        </is>
      </c>
      <c r="B41" s="77" t="n"/>
      <c r="C41" s="77" t="n"/>
      <c r="D41" s="77" t="n"/>
      <c r="E41" s="77" t="n">
        <v>2</v>
      </c>
      <c r="F41" s="72">
        <f>SUM(I41:O41)</f>
        <v/>
      </c>
      <c r="G41" s="72">
        <f>SUM(J41:P41)</f>
        <v/>
      </c>
      <c r="H41" s="73">
        <f>IFERROR(IF(G41&gt;0,F41/G41,"-"),"-")</f>
        <v/>
      </c>
      <c r="I41" s="74" t="n">
        <v>2</v>
      </c>
      <c r="J41" s="74">
        <f>IFERROR(IF(I41&gt;0,H41/I41,"-"),"-")</f>
        <v/>
      </c>
      <c r="K41" s="75" t="n">
        <v>1</v>
      </c>
      <c r="L41" s="74" t="n"/>
      <c r="M41" s="74">
        <f>IFERROR(IF(L41&gt;0,K41/L41,"-"),"-")</f>
        <v/>
      </c>
      <c r="N41" s="75" t="n">
        <v>2</v>
      </c>
      <c r="O41" s="74" t="n">
        <v>1</v>
      </c>
      <c r="P41" s="74">
        <f>IFERROR(IF(O41&gt;0,N41/O41,"-"),"-")</f>
        <v/>
      </c>
      <c r="Q41" s="75" t="n">
        <v>2</v>
      </c>
      <c r="R41" s="59" t="n"/>
      <c r="S41" s="59" t="n"/>
    </row>
    <row r="42" ht="15" customHeight="1">
      <c r="A42" s="70" t="n">
        <v>32</v>
      </c>
      <c r="B42" s="71" t="inlineStr">
        <is>
          <t>Oud Collection</t>
        </is>
      </c>
      <c r="C42" s="70" t="inlineStr">
        <is>
          <t>O00001</t>
        </is>
      </c>
      <c r="D42" s="71" t="inlineStr">
        <is>
          <t>Oud Amiri</t>
        </is>
      </c>
      <c r="E42" s="70" t="n"/>
      <c r="F42" s="72">
        <f>SUM(I42:O42)</f>
        <v/>
      </c>
      <c r="G42" s="72">
        <f>SUM(J42:P42)</f>
        <v/>
      </c>
      <c r="H42" s="73">
        <f>IFERROR(IF(G42&gt;0,F42/G42,"-"),"-")</f>
        <v/>
      </c>
      <c r="I42" s="74" t="n"/>
      <c r="J42" s="74">
        <f>IFERROR(IF(I42&gt;0,H42/I42,"-"),"-")</f>
        <v/>
      </c>
      <c r="K42" s="75" t="n">
        <v>1</v>
      </c>
      <c r="L42" s="74" t="n">
        <v>1</v>
      </c>
      <c r="M42" s="74">
        <f>IFERROR(IF(L42&gt;0,K42/L42,"-"),"-")</f>
        <v/>
      </c>
      <c r="N42" s="75" t="n"/>
      <c r="O42" s="74" t="n"/>
      <c r="P42" s="74">
        <f>IFERROR(IF(O42&gt;0,N42/O42,"-"),"-")</f>
        <v/>
      </c>
      <c r="Q42" s="75" t="n"/>
      <c r="R42" s="60" t="n"/>
      <c r="S42" s="60" t="n"/>
    </row>
    <row r="43" ht="15" customHeight="1">
      <c r="A43" s="70" t="n">
        <v>33</v>
      </c>
      <c r="B43" s="71" t="inlineStr">
        <is>
          <t>Oud Collection</t>
        </is>
      </c>
      <c r="C43" s="70" t="inlineStr">
        <is>
          <t>O00002</t>
        </is>
      </c>
      <c r="D43" s="71" t="inlineStr">
        <is>
          <t>Oud Meydan</t>
        </is>
      </c>
      <c r="E43" s="70" t="n"/>
      <c r="F43" s="72">
        <f>SUM(I43:O43)</f>
        <v/>
      </c>
      <c r="G43" s="72">
        <f>SUM(J43:P43)</f>
        <v/>
      </c>
      <c r="H43" s="73">
        <f>IFERROR(IF(G43&gt;0,F43/G43,"-"),"-")</f>
        <v/>
      </c>
      <c r="I43" s="74" t="n"/>
      <c r="J43" s="74">
        <f>IFERROR(IF(I43&gt;0,H43/I43,"-"),"-")</f>
        <v/>
      </c>
      <c r="K43" s="75" t="n">
        <v>1</v>
      </c>
      <c r="L43" s="74" t="n">
        <v>2</v>
      </c>
      <c r="M43" s="74">
        <f>IFERROR(IF(L43&gt;0,K43/L43,"-"),"-")</f>
        <v/>
      </c>
      <c r="N43" s="75" t="n"/>
      <c r="O43" s="74" t="n"/>
      <c r="P43" s="74">
        <f>IFERROR(IF(O43&gt;0,N43/O43,"-"),"-")</f>
        <v/>
      </c>
      <c r="Q43" s="75" t="n"/>
      <c r="R43" s="60" t="n"/>
      <c r="S43" s="60" t="n"/>
    </row>
    <row r="44" ht="15" customHeight="1">
      <c r="A44" s="70" t="n">
        <v>34</v>
      </c>
      <c r="B44" s="71" t="inlineStr">
        <is>
          <t>Oud Collection</t>
        </is>
      </c>
      <c r="C44" s="70" t="inlineStr">
        <is>
          <t>O00003</t>
        </is>
      </c>
      <c r="D44" s="71" t="inlineStr">
        <is>
          <t>Oud Al Emarat</t>
        </is>
      </c>
      <c r="E44" s="70" t="n">
        <v>1</v>
      </c>
      <c r="F44" s="72">
        <f>SUM(I44:O44)</f>
        <v/>
      </c>
      <c r="G44" s="72">
        <f>SUM(J44:P44)</f>
        <v/>
      </c>
      <c r="H44" s="73">
        <f>IFERROR(IF(G44&gt;0,F44/G44,"-"),"-")</f>
        <v/>
      </c>
      <c r="I44" s="74" t="n">
        <v>6</v>
      </c>
      <c r="J44" s="74">
        <f>IFERROR(IF(I44&gt;0,H44/I44,"-"),"-")</f>
        <v/>
      </c>
      <c r="K44" s="75" t="n"/>
      <c r="L44" s="74" t="n">
        <v>7</v>
      </c>
      <c r="M44" s="74">
        <f>IFERROR(IF(L44&gt;0,K44/L44,"-"),"-")</f>
        <v/>
      </c>
      <c r="N44" s="75" t="n"/>
      <c r="O44" s="74" t="n">
        <v>6</v>
      </c>
      <c r="P44" s="74">
        <f>IFERROR(IF(O44&gt;0,N44/O44,"-"),"-")</f>
        <v/>
      </c>
      <c r="Q44" s="75" t="n"/>
      <c r="R44" s="60" t="n"/>
      <c r="S44" s="60" t="n"/>
    </row>
    <row r="45" ht="15" customHeight="1">
      <c r="A45" s="70" t="n">
        <v>35</v>
      </c>
      <c r="B45" s="71" t="inlineStr">
        <is>
          <t>Oud Collection</t>
        </is>
      </c>
      <c r="C45" s="70" t="inlineStr">
        <is>
          <t>O00006</t>
        </is>
      </c>
      <c r="D45" s="71" t="inlineStr">
        <is>
          <t>Oud Al Fakhamah</t>
        </is>
      </c>
      <c r="E45" s="70" t="n"/>
      <c r="F45" s="72">
        <f>SUM(I45:O45)</f>
        <v/>
      </c>
      <c r="G45" s="72">
        <f>SUM(J45:P45)</f>
        <v/>
      </c>
      <c r="H45" s="73">
        <f>IFERROR(IF(G45&gt;0,F45/G45,"-"),"-")</f>
        <v/>
      </c>
      <c r="I45" s="74" t="n"/>
      <c r="J45" s="74">
        <f>IFERROR(IF(I45&gt;0,H45/I45,"-"),"-")</f>
        <v/>
      </c>
      <c r="K45" s="75" t="n"/>
      <c r="L45" s="74" t="n">
        <v>3</v>
      </c>
      <c r="M45" s="74">
        <f>IFERROR(IF(L45&gt;0,K45/L45,"-"),"-")</f>
        <v/>
      </c>
      <c r="N45" s="75" t="n">
        <v>1</v>
      </c>
      <c r="O45" s="74" t="n">
        <v>2</v>
      </c>
      <c r="P45" s="74">
        <f>IFERROR(IF(O45&gt;0,N45/O45,"-"),"-")</f>
        <v/>
      </c>
      <c r="Q45" s="75" t="n"/>
      <c r="R45" s="60" t="n"/>
      <c r="S45" s="60" t="n"/>
    </row>
    <row r="46" ht="15" customHeight="1">
      <c r="A46" s="76" t="inlineStr">
        <is>
          <t xml:space="preserve">  SPECIAL SETS</t>
        </is>
      </c>
      <c r="B46" s="77" t="n"/>
      <c r="C46" s="77" t="n"/>
      <c r="D46" s="77" t="n"/>
      <c r="E46" s="77" t="n"/>
      <c r="F46" s="72">
        <f>SUM(I46:O46)</f>
        <v/>
      </c>
      <c r="G46" s="72">
        <f>SUM(J46:P46)</f>
        <v/>
      </c>
      <c r="H46" s="73">
        <f>IFERROR(IF(G46&gt;0,F46/G46,"-"),"-")</f>
        <v/>
      </c>
      <c r="I46" s="74" t="n">
        <v>1</v>
      </c>
      <c r="J46" s="74">
        <f>IFERROR(IF(I46&gt;0,H46/I46,"-"),"-")</f>
        <v/>
      </c>
      <c r="K46" s="75" t="n"/>
      <c r="L46" s="74" t="n"/>
      <c r="M46" s="74">
        <f>IFERROR(IF(L46&gt;0,K46/L46,"-"),"-")</f>
        <v/>
      </c>
      <c r="N46" s="75" t="n"/>
      <c r="O46" s="74" t="n">
        <v>4</v>
      </c>
      <c r="P46" s="74">
        <f>IFERROR(IF(O46&gt;0,N46/O46,"-"),"-")</f>
        <v/>
      </c>
      <c r="Q46" s="75" t="n"/>
      <c r="R46" s="59" t="n"/>
      <c r="S46" s="59" t="n"/>
    </row>
    <row r="47" ht="15" customHeight="1">
      <c r="A47" s="70" t="n">
        <v>36</v>
      </c>
      <c r="B47" s="71" t="inlineStr">
        <is>
          <t>Special Sets</t>
        </is>
      </c>
      <c r="C47" s="70" t="inlineStr">
        <is>
          <t>SP0001</t>
        </is>
      </c>
      <c r="D47" s="71" t="inlineStr">
        <is>
          <t>White Oud</t>
        </is>
      </c>
      <c r="E47" s="70" t="n"/>
      <c r="F47" s="72">
        <f>SUM(I47:O47)</f>
        <v/>
      </c>
      <c r="G47" s="72">
        <f>SUM(J47:P47)</f>
        <v/>
      </c>
      <c r="H47" s="73">
        <f>IFERROR(IF(G47&gt;0,F47/G47,"-"),"-")</f>
        <v/>
      </c>
      <c r="I47" s="74" t="n"/>
      <c r="J47" s="74">
        <f>IFERROR(IF(I47&gt;0,H47/I47,"-"),"-")</f>
        <v/>
      </c>
      <c r="K47" s="75" t="n"/>
      <c r="L47" s="74" t="n">
        <v>1</v>
      </c>
      <c r="M47" s="74">
        <f>IFERROR(IF(L47&gt;0,K47/L47,"-"),"-")</f>
        <v/>
      </c>
      <c r="N47" s="75" t="n"/>
      <c r="O47" s="74" t="n">
        <v>4</v>
      </c>
      <c r="P47" s="74">
        <f>IFERROR(IF(O47&gt;0,N47/O47,"-"),"-")</f>
        <v/>
      </c>
      <c r="Q47" s="75" t="n"/>
      <c r="R47" s="60" t="n"/>
      <c r="S47" s="60" t="n"/>
    </row>
    <row r="48" ht="15" customHeight="1">
      <c r="A48" s="70" t="n">
        <v>37</v>
      </c>
      <c r="B48" s="71" t="inlineStr">
        <is>
          <t>Special Sets</t>
        </is>
      </c>
      <c r="C48" s="70" t="inlineStr">
        <is>
          <t>SP0006</t>
        </is>
      </c>
      <c r="D48" s="71" t="inlineStr">
        <is>
          <t>More Of Oud</t>
        </is>
      </c>
      <c r="E48" s="70" t="n"/>
      <c r="F48" s="72">
        <f>SUM(I48:O48)</f>
        <v/>
      </c>
      <c r="G48" s="72">
        <f>SUM(J48:P48)</f>
        <v/>
      </c>
      <c r="H48" s="73">
        <f>IFERROR(IF(G48&gt;0,F48/G48,"-"),"-")</f>
        <v/>
      </c>
      <c r="I48" s="74" t="n"/>
      <c r="J48" s="74">
        <f>IFERROR(IF(I48&gt;0,H48/I48,"-"),"-")</f>
        <v/>
      </c>
      <c r="K48" s="75" t="n"/>
      <c r="L48" s="74" t="n">
        <v>1</v>
      </c>
      <c r="M48" s="74">
        <f>IFERROR(IF(L48&gt;0,K48/L48,"-"),"-")</f>
        <v/>
      </c>
      <c r="N48" s="75" t="n">
        <v>1</v>
      </c>
      <c r="O48" s="74" t="n"/>
      <c r="P48" s="74">
        <f>IFERROR(IF(O48&gt;0,N48/O48,"-"),"-")</f>
        <v/>
      </c>
      <c r="Q48" s="75" t="n"/>
      <c r="R48" s="60" t="n"/>
      <c r="S48" s="60" t="n"/>
    </row>
    <row r="49" ht="15" customHeight="1">
      <c r="A49" s="70" t="n">
        <v>38</v>
      </c>
      <c r="B49" s="71" t="inlineStr">
        <is>
          <t>Special Sets</t>
        </is>
      </c>
      <c r="C49" s="70" t="inlineStr">
        <is>
          <t>SP0007</t>
        </is>
      </c>
      <c r="D49" s="71" t="inlineStr">
        <is>
          <t>Reflection -T 100 ML</t>
        </is>
      </c>
      <c r="E49" s="70" t="n">
        <v>1</v>
      </c>
      <c r="F49" s="72">
        <f>SUM(I49:O49)</f>
        <v/>
      </c>
      <c r="G49" s="72">
        <f>SUM(J49:P49)</f>
        <v/>
      </c>
      <c r="H49" s="73">
        <f>IFERROR(IF(G49&gt;0,F49/G49,"-"),"-")</f>
        <v/>
      </c>
      <c r="I49" s="74" t="n"/>
      <c r="J49" s="74">
        <f>IFERROR(IF(I49&gt;0,H49/I49,"-"),"-")</f>
        <v/>
      </c>
      <c r="K49" s="75" t="n"/>
      <c r="L49" s="74" t="n"/>
      <c r="M49" s="74">
        <f>IFERROR(IF(L49&gt;0,K49/L49,"-"),"-")</f>
        <v/>
      </c>
      <c r="N49" s="75" t="n"/>
      <c r="O49" s="74" t="n"/>
      <c r="P49" s="74">
        <f>IFERROR(IF(O49&gt;0,N49/O49,"-"),"-")</f>
        <v/>
      </c>
      <c r="Q49" s="75" t="n"/>
      <c r="R49" s="60" t="n"/>
      <c r="S49" s="60" t="n"/>
    </row>
    <row r="50" ht="15" customHeight="1">
      <c r="A50" s="70" t="n">
        <v>39</v>
      </c>
      <c r="B50" s="71" t="inlineStr">
        <is>
          <t>Special Sets</t>
        </is>
      </c>
      <c r="C50" s="70" t="inlineStr">
        <is>
          <t>SP0017</t>
        </is>
      </c>
      <c r="D50" s="71" t="inlineStr">
        <is>
          <t>White Oud Oil 8ml</t>
        </is>
      </c>
      <c r="E50" s="70" t="n">
        <v>1</v>
      </c>
      <c r="F50" s="72">
        <f>SUM(I50:O50)</f>
        <v/>
      </c>
      <c r="G50" s="72">
        <f>SUM(J50:P50)</f>
        <v/>
      </c>
      <c r="H50" s="73">
        <f>IFERROR(IF(G50&gt;0,F50/G50,"-"),"-")</f>
        <v/>
      </c>
      <c r="I50" s="74" t="n"/>
      <c r="J50" s="74">
        <f>IFERROR(IF(I50&gt;0,H50/I50,"-"),"-")</f>
        <v/>
      </c>
      <c r="K50" s="75" t="n"/>
      <c r="L50" s="74" t="n"/>
      <c r="M50" s="74">
        <f>IFERROR(IF(L50&gt;0,K50/L50,"-"),"-")</f>
        <v/>
      </c>
      <c r="N50" s="75" t="n"/>
      <c r="O50" s="74" t="n"/>
      <c r="P50" s="74">
        <f>IFERROR(IF(O50&gt;0,N50/O50,"-"),"-")</f>
        <v/>
      </c>
      <c r="Q50" s="75" t="n"/>
      <c r="R50" s="60" t="n"/>
      <c r="S50" s="60" t="n"/>
    </row>
    <row r="51" ht="15" customHeight="1">
      <c r="A51" s="70" t="n">
        <v>40</v>
      </c>
      <c r="B51" s="71" t="inlineStr">
        <is>
          <t>Special Sets</t>
        </is>
      </c>
      <c r="C51" s="70" t="inlineStr">
        <is>
          <t>SP0030</t>
        </is>
      </c>
      <c r="D51" s="71" t="inlineStr">
        <is>
          <t>Midnight Oud 30ml</t>
        </is>
      </c>
      <c r="E51" s="70" t="n">
        <v>1</v>
      </c>
      <c r="F51" s="72">
        <f>SUM(I51:O51)</f>
        <v/>
      </c>
      <c r="G51" s="72">
        <f>SUM(J51:P51)</f>
        <v/>
      </c>
      <c r="H51" s="73">
        <f>IFERROR(IF(G51&gt;0,F51/G51,"-"),"-")</f>
        <v/>
      </c>
      <c r="I51" s="74" t="n">
        <v>2</v>
      </c>
      <c r="J51" s="74">
        <f>IFERROR(IF(I51&gt;0,H51/I51,"-"),"-")</f>
        <v/>
      </c>
      <c r="K51" s="75" t="n"/>
      <c r="L51" s="74" t="n"/>
      <c r="M51" s="74">
        <f>IFERROR(IF(L51&gt;0,K51/L51,"-"),"-")</f>
        <v/>
      </c>
      <c r="N51" s="75" t="n"/>
      <c r="O51" s="74" t="n"/>
      <c r="P51" s="74">
        <f>IFERROR(IF(O51&gt;0,N51/O51,"-"),"-")</f>
        <v/>
      </c>
      <c r="Q51" s="75" t="n"/>
      <c r="R51" s="60" t="n"/>
      <c r="S51" s="60" t="n"/>
    </row>
    <row r="52" ht="15" customHeight="1">
      <c r="A52" s="76" t="inlineStr">
        <is>
          <t xml:space="preserve">  OILS &amp; CPO</t>
        </is>
      </c>
      <c r="B52" s="77" t="n"/>
      <c r="C52" s="77" t="n"/>
      <c r="D52" s="77" t="n"/>
      <c r="E52" s="77" t="n"/>
      <c r="F52" s="72">
        <f>SUM(I52:O52)</f>
        <v/>
      </c>
      <c r="G52" s="72">
        <f>SUM(J52:P52)</f>
        <v/>
      </c>
      <c r="H52" s="73">
        <f>IFERROR(IF(G52&gt;0,F52/G52,"-"),"-")</f>
        <v/>
      </c>
      <c r="I52" s="74" t="n"/>
      <c r="J52" s="74">
        <f>IFERROR(IF(I52&gt;0,H52/I52,"-"),"-")</f>
        <v/>
      </c>
      <c r="K52" s="75" t="n"/>
      <c r="L52" s="74" t="n"/>
      <c r="M52" s="74">
        <f>IFERROR(IF(L52&gt;0,K52/L52,"-"),"-")</f>
        <v/>
      </c>
      <c r="N52" s="75" t="n"/>
      <c r="O52" s="74" t="n"/>
      <c r="P52" s="74">
        <f>IFERROR(IF(O52&gt;0,N52/O52,"-"),"-")</f>
        <v/>
      </c>
      <c r="Q52" s="75" t="n"/>
      <c r="R52" s="59" t="n"/>
      <c r="S52" s="59" t="n"/>
    </row>
    <row r="53" ht="15" customHeight="1">
      <c r="A53" s="70" t="n">
        <v>41</v>
      </c>
      <c r="B53" s="71" t="inlineStr">
        <is>
          <t>Oils &amp; CPO</t>
        </is>
      </c>
      <c r="C53" s="70" t="inlineStr">
        <is>
          <t>I00002</t>
        </is>
      </c>
      <c r="D53" s="71" t="inlineStr">
        <is>
          <t>Seufi Special</t>
        </is>
      </c>
      <c r="E53" s="70" t="n"/>
      <c r="F53" s="72">
        <f>SUM(I53:O53)</f>
        <v/>
      </c>
      <c r="G53" s="72">
        <f>SUM(J53:P53)</f>
        <v/>
      </c>
      <c r="H53" s="73">
        <f>IFERROR(IF(G53&gt;0,F53/G53,"-"),"-")</f>
        <v/>
      </c>
      <c r="I53" s="74" t="n"/>
      <c r="J53" s="74">
        <f>IFERROR(IF(I53&gt;0,H53/I53,"-"),"-")</f>
        <v/>
      </c>
      <c r="K53" s="75" t="n"/>
      <c r="L53" s="74" t="n"/>
      <c r="M53" s="74">
        <f>IFERROR(IF(L53&gt;0,K53/L53,"-"),"-")</f>
        <v/>
      </c>
      <c r="N53" s="75" t="n"/>
      <c r="O53" s="74" t="n"/>
      <c r="P53" s="74">
        <f>IFERROR(IF(O53&gt;0,N53/O53,"-"),"-")</f>
        <v/>
      </c>
      <c r="Q53" s="75" t="n"/>
      <c r="R53" s="60" t="n"/>
      <c r="S53" s="60" t="n"/>
    </row>
    <row r="54" ht="15" customHeight="1">
      <c r="A54" s="70" t="n">
        <v>42</v>
      </c>
      <c r="B54" s="71" t="inlineStr">
        <is>
          <t>Oils &amp; CPO</t>
        </is>
      </c>
      <c r="C54" s="70" t="inlineStr">
        <is>
          <t>I00003</t>
        </is>
      </c>
      <c r="D54" s="71" t="inlineStr">
        <is>
          <t>White Oil -8 ML</t>
        </is>
      </c>
      <c r="E54" s="70" t="n">
        <v>1</v>
      </c>
      <c r="F54" s="72">
        <f>SUM(I54:O54)</f>
        <v/>
      </c>
      <c r="G54" s="72">
        <f>SUM(J54:P54)</f>
        <v/>
      </c>
      <c r="H54" s="73">
        <f>IFERROR(IF(G54&gt;0,F54/G54,"-"),"-")</f>
        <v/>
      </c>
      <c r="I54" s="74" t="n">
        <v>2</v>
      </c>
      <c r="J54" s="74">
        <f>IFERROR(IF(I54&gt;0,H54/I54,"-"),"-")</f>
        <v/>
      </c>
      <c r="K54" s="75" t="n">
        <v>1</v>
      </c>
      <c r="L54" s="74" t="n">
        <v>3</v>
      </c>
      <c r="M54" s="74">
        <f>IFERROR(IF(L54&gt;0,K54/L54,"-"),"-")</f>
        <v/>
      </c>
      <c r="N54" s="75" t="n">
        <v>3</v>
      </c>
      <c r="O54" s="74" t="n">
        <v>2</v>
      </c>
      <c r="P54" s="74">
        <f>IFERROR(IF(O54&gt;0,N54/O54,"-"),"-")</f>
        <v/>
      </c>
      <c r="Q54" s="75" t="n">
        <v>1</v>
      </c>
      <c r="R54" s="60" t="n"/>
      <c r="S54" s="60" t="n"/>
    </row>
    <row r="55" ht="15" customHeight="1">
      <c r="A55" s="70" t="n">
        <v>43</v>
      </c>
      <c r="B55" s="71" t="inlineStr">
        <is>
          <t>Oils &amp; CPO</t>
        </is>
      </c>
      <c r="C55" s="70" t="inlineStr">
        <is>
          <t>I00004</t>
        </is>
      </c>
      <c r="D55" s="71" t="inlineStr">
        <is>
          <t>Maroon Oil - 8 ML</t>
        </is>
      </c>
      <c r="E55" s="70" t="n">
        <v>1</v>
      </c>
      <c r="F55" s="72">
        <f>SUM(I55:O55)</f>
        <v/>
      </c>
      <c r="G55" s="72">
        <f>SUM(J55:P55)</f>
        <v/>
      </c>
      <c r="H55" s="73">
        <f>IFERROR(IF(G55&gt;0,F55/G55,"-"),"-")</f>
        <v/>
      </c>
      <c r="I55" s="74" t="n">
        <v>1</v>
      </c>
      <c r="J55" s="74">
        <f>IFERROR(IF(I55&gt;0,H55/I55,"-"),"-")</f>
        <v/>
      </c>
      <c r="K55" s="75" t="n">
        <v>4</v>
      </c>
      <c r="L55" s="74" t="n">
        <v>4</v>
      </c>
      <c r="M55" s="74">
        <f>IFERROR(IF(L55&gt;0,K55/L55,"-"),"-")</f>
        <v/>
      </c>
      <c r="N55" s="75" t="n">
        <v>2</v>
      </c>
      <c r="O55" s="74" t="n">
        <v>4</v>
      </c>
      <c r="P55" s="74">
        <f>IFERROR(IF(O55&gt;0,N55/O55,"-"),"-")</f>
        <v/>
      </c>
      <c r="Q55" s="75" t="n">
        <v>2</v>
      </c>
      <c r="R55" s="60" t="n"/>
      <c r="S55" s="60" t="n"/>
    </row>
    <row r="56" ht="15" customHeight="1">
      <c r="A56" s="70" t="n">
        <v>44</v>
      </c>
      <c r="B56" s="71" t="inlineStr">
        <is>
          <t>Oils &amp; CPO</t>
        </is>
      </c>
      <c r="C56" s="70" t="inlineStr">
        <is>
          <t>I00006</t>
        </is>
      </c>
      <c r="D56" s="71" t="inlineStr">
        <is>
          <t>Musk oil 8 ML</t>
        </is>
      </c>
      <c r="E56" s="70" t="n">
        <v>1</v>
      </c>
      <c r="F56" s="72">
        <f>SUM(I56:O56)</f>
        <v/>
      </c>
      <c r="G56" s="72">
        <f>SUM(J56:P56)</f>
        <v/>
      </c>
      <c r="H56" s="73">
        <f>IFERROR(IF(G56&gt;0,F56/G56,"-"),"-")</f>
        <v/>
      </c>
      <c r="I56" s="74" t="n">
        <v>1</v>
      </c>
      <c r="J56" s="74">
        <f>IFERROR(IF(I56&gt;0,H56/I56,"-"),"-")</f>
        <v/>
      </c>
      <c r="K56" s="75" t="n">
        <v>3</v>
      </c>
      <c r="L56" s="74" t="n">
        <v>3</v>
      </c>
      <c r="M56" s="74">
        <f>IFERROR(IF(L56&gt;0,K56/L56,"-"),"-")</f>
        <v/>
      </c>
      <c r="N56" s="75" t="n">
        <v>2</v>
      </c>
      <c r="O56" s="74" t="n">
        <v>6</v>
      </c>
      <c r="P56" s="74">
        <f>IFERROR(IF(O56&gt;0,N56/O56,"-"),"-")</f>
        <v/>
      </c>
      <c r="Q56" s="75" t="n">
        <v>1</v>
      </c>
      <c r="R56" s="60" t="n"/>
      <c r="S56" s="60" t="n"/>
    </row>
    <row r="57" ht="15" customHeight="1">
      <c r="A57" s="70" t="n">
        <v>45</v>
      </c>
      <c r="B57" s="71" t="inlineStr">
        <is>
          <t>Oils &amp; CPO</t>
        </is>
      </c>
      <c r="C57" s="70" t="inlineStr">
        <is>
          <t>I00011</t>
        </is>
      </c>
      <c r="D57" s="71" t="inlineStr">
        <is>
          <t>Midnight Oil 8ml</t>
        </is>
      </c>
      <c r="E57" s="70" t="n">
        <v>1</v>
      </c>
      <c r="F57" s="72">
        <f>SUM(I57:O57)</f>
        <v/>
      </c>
      <c r="G57" s="72">
        <f>SUM(J57:P57)</f>
        <v/>
      </c>
      <c r="H57" s="73">
        <f>IFERROR(IF(G57&gt;0,F57/G57,"-"),"-")</f>
        <v/>
      </c>
      <c r="I57" s="74" t="n">
        <v>11</v>
      </c>
      <c r="J57" s="74">
        <f>IFERROR(IF(I57&gt;0,H57/I57,"-"),"-")</f>
        <v/>
      </c>
      <c r="K57" s="75" t="n">
        <v>6</v>
      </c>
      <c r="L57" s="74" t="n">
        <v>10</v>
      </c>
      <c r="M57" s="74">
        <f>IFERROR(IF(L57&gt;0,K57/L57,"-"),"-")</f>
        <v/>
      </c>
      <c r="N57" s="75" t="n">
        <v>3</v>
      </c>
      <c r="O57" s="74" t="n">
        <v>12</v>
      </c>
      <c r="P57" s="74">
        <f>IFERROR(IF(O57&gt;0,N57/O57,"-"),"-")</f>
        <v/>
      </c>
      <c r="Q57" s="75" t="n">
        <v>1</v>
      </c>
      <c r="R57" s="60" t="n"/>
      <c r="S57" s="60" t="n"/>
    </row>
    <row r="58" ht="15" customHeight="1">
      <c r="A58" s="76" t="inlineStr">
        <is>
          <t xml:space="preserve">  ACCESSORIES</t>
        </is>
      </c>
      <c r="B58" s="77" t="n"/>
      <c r="C58" s="77" t="n"/>
      <c r="D58" s="77" t="n"/>
      <c r="E58" s="77" t="n"/>
      <c r="F58" s="72">
        <f>SUM(I58:O58)</f>
        <v/>
      </c>
      <c r="G58" s="72">
        <f>SUM(J58:P58)</f>
        <v/>
      </c>
      <c r="H58" s="73">
        <f>IFERROR(IF(G58&gt;0,F58/G58,"-"),"-")</f>
        <v/>
      </c>
      <c r="I58" s="74" t="n"/>
      <c r="J58" s="74">
        <f>IFERROR(IF(I58&gt;0,H58/I58,"-"),"-")</f>
        <v/>
      </c>
      <c r="K58" s="75" t="n"/>
      <c r="L58" s="74" t="n"/>
      <c r="M58" s="74">
        <f>IFERROR(IF(L58&gt;0,K58/L58,"-"),"-")</f>
        <v/>
      </c>
      <c r="N58" s="75" t="n"/>
      <c r="O58" s="74" t="n"/>
      <c r="P58" s="74">
        <f>IFERROR(IF(O58&gt;0,N58/O58,"-"),"-")</f>
        <v/>
      </c>
      <c r="Q58" s="75" t="n"/>
      <c r="R58" s="59" t="n"/>
      <c r="S58" s="59" t="n"/>
    </row>
    <row r="59" ht="15" customHeight="1">
      <c r="A59" s="70" t="n">
        <v>46</v>
      </c>
      <c r="B59" s="71" t="inlineStr">
        <is>
          <t>Accessories</t>
        </is>
      </c>
      <c r="C59" s="70" t="inlineStr">
        <is>
          <t>AC0003</t>
        </is>
      </c>
      <c r="D59" s="71" t="inlineStr">
        <is>
          <t>Lighter</t>
        </is>
      </c>
      <c r="E59" s="70" t="n"/>
      <c r="F59" s="72">
        <f>SUM(I59:O59)</f>
        <v/>
      </c>
      <c r="G59" s="72">
        <f>SUM(J59:P59)</f>
        <v/>
      </c>
      <c r="H59" s="73">
        <f>IFERROR(IF(G59&gt;0,F59/G59,"-"),"-")</f>
        <v/>
      </c>
      <c r="I59" s="74" t="n"/>
      <c r="J59" s="74">
        <f>IFERROR(IF(I59&gt;0,H59/I59,"-"),"-")</f>
        <v/>
      </c>
      <c r="K59" s="75" t="n"/>
      <c r="L59" s="74" t="n"/>
      <c r="M59" s="74">
        <f>IFERROR(IF(L59&gt;0,K59/L59,"-"),"-")</f>
        <v/>
      </c>
      <c r="N59" s="75" t="n">
        <v>1</v>
      </c>
      <c r="O59" s="74" t="n"/>
      <c r="P59" s="74">
        <f>IFERROR(IF(O59&gt;0,N59/O59,"-"),"-")</f>
        <v/>
      </c>
      <c r="Q59" s="75" t="n"/>
      <c r="R59" s="60" t="n"/>
      <c r="S59" s="60" t="n"/>
    </row>
    <row r="60">
      <c r="A60" s="77" t="n"/>
      <c r="B60" s="77" t="n"/>
      <c r="C60" s="77" t="n"/>
      <c r="D60" s="77" t="n"/>
      <c r="E60" s="77" t="n">
        <v>1</v>
      </c>
      <c r="F60" s="72">
        <f>SUM(I60:O60)</f>
        <v/>
      </c>
      <c r="G60" s="72">
        <f>SUM(J60:P60)</f>
        <v/>
      </c>
      <c r="H60" s="73">
        <f>IFERROR(IF(G60&gt;0,F60/G60,"-"),"-")</f>
        <v/>
      </c>
      <c r="I60" s="74" t="n">
        <v>6</v>
      </c>
      <c r="J60" s="74">
        <f>IFERROR(IF(I60&gt;0,H60/I60,"-"),"-")</f>
        <v/>
      </c>
      <c r="K60" s="75" t="n">
        <v>1</v>
      </c>
      <c r="L60" s="74" t="n">
        <v>5</v>
      </c>
      <c r="M60" s="74">
        <f>IFERROR(IF(L60&gt;0,K60/L60,"-"),"-")</f>
        <v/>
      </c>
      <c r="N60" s="75" t="n">
        <v>1</v>
      </c>
      <c r="O60" s="74" t="n">
        <v>12</v>
      </c>
      <c r="P60" s="74">
        <f>IFERROR(IF(O60&gt;0,N60/O60,"-"),"-")</f>
        <v/>
      </c>
      <c r="Q60" s="75" t="n">
        <v>1</v>
      </c>
      <c r="R60" s="59" t="n"/>
      <c r="S60" s="59" t="n"/>
    </row>
    <row r="61">
      <c r="A61" s="77" t="n"/>
      <c r="B61" s="77" t="n"/>
      <c r="C61" s="77" t="n"/>
      <c r="D61" s="77" t="n"/>
      <c r="E61" s="77" t="n">
        <v>1</v>
      </c>
      <c r="F61" s="72">
        <f>SUM(I61:O61)</f>
        <v/>
      </c>
      <c r="G61" s="72">
        <f>SUM(J61:P61)</f>
        <v/>
      </c>
      <c r="H61" s="73">
        <f>IFERROR(IF(G61&gt;0,F61/G61,"-"),"-")</f>
        <v/>
      </c>
      <c r="I61" s="74" t="n">
        <v>22</v>
      </c>
      <c r="J61" s="74">
        <f>IFERROR(IF(I61&gt;0,H61/I61,"-"),"-")</f>
        <v/>
      </c>
      <c r="K61" s="75" t="n">
        <v>1</v>
      </c>
      <c r="L61" s="74" t="n">
        <v>32</v>
      </c>
      <c r="M61" s="74">
        <f>IFERROR(IF(L61&gt;0,K61/L61,"-"),"-")</f>
        <v/>
      </c>
      <c r="N61" s="75" t="n">
        <v>7</v>
      </c>
      <c r="O61" s="74" t="n">
        <v>59</v>
      </c>
      <c r="P61" s="74">
        <f>IFERROR(IF(O61&gt;0,N61/O61,"-"),"-")</f>
        <v/>
      </c>
      <c r="Q61" s="75" t="n">
        <v>4</v>
      </c>
      <c r="R61" s="59" t="n"/>
      <c r="S61" s="59" t="n"/>
    </row>
    <row r="62">
      <c r="A62" s="77" t="n"/>
      <c r="B62" s="77" t="n"/>
      <c r="C62" s="77" t="n"/>
      <c r="D62" s="77" t="n"/>
      <c r="E62" s="77" t="n"/>
      <c r="F62" s="72">
        <f>SUM(I62:O62)</f>
        <v/>
      </c>
      <c r="G62" s="72">
        <f>SUM(J62:P62)</f>
        <v/>
      </c>
      <c r="H62" s="73">
        <f>IFERROR(IF(G62&gt;0,F62/G62,"-"),"-")</f>
        <v/>
      </c>
      <c r="I62" s="74" t="n"/>
      <c r="J62" s="74">
        <f>IFERROR(IF(I62&gt;0,H62/I62,"-"),"-")</f>
        <v/>
      </c>
      <c r="K62" s="75" t="n"/>
      <c r="L62" s="74" t="n">
        <v>1</v>
      </c>
      <c r="M62" s="74">
        <f>IFERROR(IF(L62&gt;0,K62/L62,"-"),"-")</f>
        <v/>
      </c>
      <c r="N62" s="75" t="n"/>
      <c r="O62" s="74" t="n"/>
      <c r="P62" s="74">
        <f>IFERROR(IF(O62&gt;0,N62/O62,"-"),"-")</f>
        <v/>
      </c>
      <c r="Q62" s="75" t="n"/>
      <c r="R62" s="59" t="n"/>
      <c r="S62" s="59" t="n"/>
    </row>
    <row r="63">
      <c r="A63" s="77" t="n"/>
      <c r="B63" s="77" t="n"/>
      <c r="C63" s="77" t="n"/>
      <c r="D63" s="77" t="n"/>
      <c r="E63" s="77" t="n"/>
      <c r="F63" s="72">
        <f>SUM(I63:O63)</f>
        <v/>
      </c>
      <c r="G63" s="72">
        <f>SUM(J63:P63)</f>
        <v/>
      </c>
      <c r="H63" s="73">
        <f>IFERROR(IF(G63&gt;0,F63/G63,"-"),"-")</f>
        <v/>
      </c>
      <c r="I63" s="74" t="n"/>
      <c r="J63" s="74">
        <f>IFERROR(IF(I63&gt;0,H63/I63,"-"),"-")</f>
        <v/>
      </c>
      <c r="K63" s="75" t="n"/>
      <c r="L63" s="74" t="n">
        <v>1</v>
      </c>
      <c r="M63" s="74">
        <f>IFERROR(IF(L63&gt;0,K63/L63,"-"),"-")</f>
        <v/>
      </c>
      <c r="N63" s="75" t="n">
        <v>1</v>
      </c>
      <c r="O63" s="74" t="n">
        <v>1</v>
      </c>
      <c r="P63" s="74">
        <f>IFERROR(IF(O63&gt;0,N63/O63,"-"),"-")</f>
        <v/>
      </c>
      <c r="Q63" s="75" t="n"/>
      <c r="R63" s="59" t="n"/>
      <c r="S63" s="59" t="n"/>
    </row>
    <row r="64">
      <c r="A64" s="77" t="n"/>
      <c r="B64" s="77" t="n"/>
      <c r="C64" s="77" t="n"/>
      <c r="D64" s="77" t="n"/>
      <c r="E64" s="77" t="n"/>
      <c r="F64" s="72">
        <f>SUM(I64:O64)</f>
        <v/>
      </c>
      <c r="G64" s="72">
        <f>SUM(J64:P64)</f>
        <v/>
      </c>
      <c r="H64" s="73">
        <f>IFERROR(IF(G64&gt;0,F64/G64,"-"),"-")</f>
        <v/>
      </c>
      <c r="I64" s="74" t="n"/>
      <c r="J64" s="74">
        <f>IFERROR(IF(I64&gt;0,H64/I64,"-"),"-")</f>
        <v/>
      </c>
      <c r="K64" s="75" t="n"/>
      <c r="L64" s="74" t="n"/>
      <c r="M64" s="74">
        <f>IFERROR(IF(L64&gt;0,K64/L64,"-"),"-")</f>
        <v/>
      </c>
      <c r="N64" s="75" t="n"/>
      <c r="O64" s="74" t="n"/>
      <c r="P64" s="74">
        <f>IFERROR(IF(O64&gt;0,N64/O64,"-"),"-")</f>
        <v/>
      </c>
      <c r="Q64" s="75" t="n"/>
      <c r="R64" s="59" t="n"/>
      <c r="S64" s="59" t="n"/>
    </row>
  </sheetData>
  <mergeCells count="5">
    <mergeCell ref="A1:AZ1"/>
    <mergeCell ref="O3"/>
    <mergeCell ref="I3"/>
    <mergeCell ref="L3"/>
    <mergeCell ref="A2:AZ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B5B35"/>
    <outlinePr summaryBelow="1" summaryRight="1"/>
    <pageSetUpPr/>
  </sheetPr>
  <dimension ref="A1:AZ73"/>
  <sheetViews>
    <sheetView showGridLines="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2" customWidth="1" min="4" max="4"/>
    <col width="25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7.5" customWidth="1" min="45" max="45"/>
    <col width="9" customWidth="1" min="46" max="46"/>
  </cols>
  <sheetData>
    <row r="1" ht="25" customHeight="1">
      <c r="A1" s="55" t="inlineStr">
        <is>
          <t>EMIRATES PRIDE PERFUMES | TESTER CONSUMPTION | FEB 2026 | HESSIN</t>
        </is>
      </c>
    </row>
    <row r="2" ht="14" customHeight="1">
      <c r="A2" s="56" t="inlineStr">
        <is>
          <t>T=Testers Dispatched (blue) | S=Sales Generated (green) | Contrib%=Contribution %</t>
        </is>
      </c>
    </row>
    <row r="3" ht="30" customHeight="1">
      <c r="A3" s="57" t="inlineStr">
        <is>
          <t>#</t>
        </is>
      </c>
      <c r="B3" s="57" t="inlineStr">
        <is>
          <t>Category</t>
        </is>
      </c>
      <c r="C3" s="57" t="inlineStr">
        <is>
          <t>Sub-Category</t>
        </is>
      </c>
      <c r="D3" s="57" t="inlineStr">
        <is>
          <t>SKU Code</t>
        </is>
      </c>
      <c r="E3" s="57" t="inlineStr">
        <is>
          <t>Product Name</t>
        </is>
      </c>
      <c r="F3" s="57" t="inlineStr">
        <is>
          <t>Grand Total
Testers</t>
        </is>
      </c>
      <c r="G3" s="57" t="inlineStr">
        <is>
          <t>Grand Total
Sales</t>
        </is>
      </c>
      <c r="H3" s="57" t="inlineStr">
        <is>
          <t>Grand Total
Contrib%</t>
        </is>
      </c>
      <c r="I3" s="58" t="inlineStr">
        <is>
          <t>Dalma Shop</t>
        </is>
      </c>
      <c r="J3" s="59" t="n"/>
      <c r="K3" s="60" t="n"/>
      <c r="L3" s="58" t="inlineStr">
        <is>
          <t>Dalma Kiosk</t>
        </is>
      </c>
      <c r="M3" s="59" t="n"/>
      <c r="N3" s="60" t="n"/>
      <c r="O3" s="58" t="inlineStr">
        <is>
          <t>Deerfield</t>
        </is>
      </c>
      <c r="P3" s="59" t="n"/>
      <c r="Q3" s="60" t="n"/>
      <c r="R3" s="58" t="inlineStr">
        <is>
          <t>Yas Kiosk 2</t>
        </is>
      </c>
      <c r="S3" s="59" t="n"/>
      <c r="T3" s="60" t="n"/>
      <c r="U3" s="58" t="inlineStr">
        <is>
          <t>Yas Kiosk 3</t>
        </is>
      </c>
      <c r="V3" s="59" t="n"/>
      <c r="W3" s="60" t="n"/>
      <c r="X3" s="58" t="inlineStr">
        <is>
          <t>Yas Podium</t>
        </is>
      </c>
      <c r="Y3" s="59" t="n"/>
      <c r="Z3" s="60" t="n"/>
      <c r="AA3" s="58" t="inlineStr">
        <is>
          <t>BAS Shop 2</t>
        </is>
      </c>
      <c r="AB3" s="59" t="n"/>
      <c r="AC3" s="60" t="n"/>
      <c r="AD3" s="58" t="inlineStr">
        <is>
          <t>Al Ain Mall</t>
        </is>
      </c>
      <c r="AE3" s="59" t="n"/>
      <c r="AF3" s="60" t="n"/>
      <c r="AG3" s="58" t="inlineStr">
        <is>
          <t>Bawadi K1</t>
        </is>
      </c>
      <c r="AH3" s="59" t="n"/>
      <c r="AI3" s="60" t="n"/>
      <c r="AJ3" s="58" t="inlineStr">
        <is>
          <t>Bawadi K2</t>
        </is>
      </c>
      <c r="AK3" s="59" t="n"/>
      <c r="AL3" s="60" t="n"/>
      <c r="AM3" s="58" t="inlineStr">
        <is>
          <t>Jimi Mall</t>
        </is>
      </c>
      <c r="AN3" s="59" t="n"/>
      <c r="AO3" s="60" t="n"/>
      <c r="AP3" s="58" t="inlineStr">
        <is>
          <t>Makani Shop</t>
        </is>
      </c>
      <c r="AQ3" s="59" t="n"/>
      <c r="AR3" s="60" t="n"/>
      <c r="AS3" s="59" t="n"/>
      <c r="AT3" s="59" t="n"/>
    </row>
    <row r="4" ht="44" customHeight="1">
      <c r="A4" s="61" t="n"/>
      <c r="B4" s="61" t="n"/>
      <c r="C4" s="61" t="n"/>
      <c r="D4" s="61" t="n"/>
      <c r="E4" s="61" t="n"/>
      <c r="F4" s="61" t="inlineStr">
        <is>
          <t>T</t>
        </is>
      </c>
      <c r="G4" s="61" t="inlineStr">
        <is>
          <t>S</t>
        </is>
      </c>
      <c r="H4" s="61" t="inlineStr">
        <is>
          <t>Contrib%</t>
        </is>
      </c>
      <c r="I4" s="62" t="inlineStr">
        <is>
          <t>T</t>
        </is>
      </c>
      <c r="J4" s="62" t="inlineStr">
        <is>
          <t>S</t>
        </is>
      </c>
      <c r="K4" s="62" t="inlineStr">
        <is>
          <t>Contrib%</t>
        </is>
      </c>
      <c r="L4" s="62" t="inlineStr">
        <is>
          <t>T</t>
        </is>
      </c>
      <c r="M4" s="62" t="inlineStr">
        <is>
          <t>S</t>
        </is>
      </c>
      <c r="N4" s="62" t="inlineStr">
        <is>
          <t>Contrib%</t>
        </is>
      </c>
      <c r="O4" s="62" t="inlineStr">
        <is>
          <t>T</t>
        </is>
      </c>
      <c r="P4" s="62" t="inlineStr">
        <is>
          <t>S</t>
        </is>
      </c>
      <c r="Q4" s="62" t="inlineStr">
        <is>
          <t>Contrib%</t>
        </is>
      </c>
      <c r="R4" s="62" t="inlineStr">
        <is>
          <t>T</t>
        </is>
      </c>
      <c r="S4" s="62" t="inlineStr">
        <is>
          <t>S</t>
        </is>
      </c>
      <c r="T4" s="62" t="inlineStr">
        <is>
          <t>Contrib%</t>
        </is>
      </c>
      <c r="U4" s="62" t="inlineStr">
        <is>
          <t>T</t>
        </is>
      </c>
      <c r="V4" s="62" t="inlineStr">
        <is>
          <t>S</t>
        </is>
      </c>
      <c r="W4" s="62" t="inlineStr">
        <is>
          <t>Contrib%</t>
        </is>
      </c>
      <c r="X4" s="62" t="inlineStr">
        <is>
          <t>T</t>
        </is>
      </c>
      <c r="Y4" s="62" t="inlineStr">
        <is>
          <t>S</t>
        </is>
      </c>
      <c r="Z4" s="62" t="inlineStr">
        <is>
          <t>Contrib%</t>
        </is>
      </c>
      <c r="AA4" s="62" t="inlineStr">
        <is>
          <t>T</t>
        </is>
      </c>
      <c r="AB4" s="62" t="inlineStr">
        <is>
          <t>S</t>
        </is>
      </c>
      <c r="AC4" s="62" t="inlineStr">
        <is>
          <t>Contrib%</t>
        </is>
      </c>
      <c r="AD4" s="62" t="inlineStr">
        <is>
          <t>T</t>
        </is>
      </c>
      <c r="AE4" s="62" t="inlineStr">
        <is>
          <t>S</t>
        </is>
      </c>
      <c r="AF4" s="62" t="inlineStr">
        <is>
          <t>Contrib%</t>
        </is>
      </c>
      <c r="AG4" s="62" t="inlineStr">
        <is>
          <t>T</t>
        </is>
      </c>
      <c r="AH4" s="62" t="inlineStr">
        <is>
          <t>S</t>
        </is>
      </c>
      <c r="AI4" s="62" t="inlineStr">
        <is>
          <t>Contrib%</t>
        </is>
      </c>
      <c r="AJ4" s="62" t="inlineStr">
        <is>
          <t>T</t>
        </is>
      </c>
      <c r="AK4" s="62" t="inlineStr">
        <is>
          <t>S</t>
        </is>
      </c>
      <c r="AL4" s="62" t="inlineStr">
        <is>
          <t>Contrib%</t>
        </is>
      </c>
      <c r="AM4" s="62" t="inlineStr">
        <is>
          <t>T</t>
        </is>
      </c>
      <c r="AN4" s="62" t="inlineStr">
        <is>
          <t>S</t>
        </is>
      </c>
      <c r="AO4" s="62" t="inlineStr">
        <is>
          <t>Contrib%</t>
        </is>
      </c>
      <c r="AP4" s="62" t="inlineStr">
        <is>
          <t>T</t>
        </is>
      </c>
      <c r="AQ4" s="62" t="inlineStr">
        <is>
          <t>S</t>
        </is>
      </c>
      <c r="AR4" s="62" t="inlineStr">
        <is>
          <t>Contrib%</t>
        </is>
      </c>
      <c r="AS4" s="60" t="n"/>
      <c r="AT4" s="60" t="n"/>
    </row>
    <row r="5" ht="20" customHeight="1">
      <c r="A5" s="63" t="inlineStr">
        <is>
          <t>GRAND TOTAL</t>
        </is>
      </c>
      <c r="B5" s="59" t="n"/>
      <c r="C5" s="59" t="n"/>
      <c r="D5" s="59" t="n"/>
      <c r="E5" s="60" t="n"/>
      <c r="F5" s="64">
        <f>SUM(F12:F64)</f>
        <v/>
      </c>
      <c r="G5" s="64">
        <f>SUM(G12:G64)</f>
        <v/>
      </c>
      <c r="H5" s="65">
        <f>IFERROR(IF(G5&gt;0,F5/G5,"-"),"-")</f>
        <v/>
      </c>
      <c r="I5" s="66">
        <f>SUM(I12:I64)</f>
        <v/>
      </c>
      <c r="J5" s="66">
        <f>SUM(J12:J64)</f>
        <v/>
      </c>
      <c r="K5" s="67">
        <f>IFERROR(IF(J5&gt;0,I5/J5,"-"),"-")</f>
        <v/>
      </c>
      <c r="L5" s="66">
        <f>SUM(L12:L64)</f>
        <v/>
      </c>
      <c r="M5" s="66">
        <f>SUM(M12:M64)</f>
        <v/>
      </c>
      <c r="N5" s="67">
        <f>IFERROR(IF(M5&gt;0,L5/M5,"-"),"-")</f>
        <v/>
      </c>
      <c r="O5" s="66">
        <f>SUM(O12:O64)</f>
        <v/>
      </c>
      <c r="P5" s="66">
        <f>SUM(P12:P64)</f>
        <v/>
      </c>
      <c r="Q5" s="67">
        <f>IFERROR(IF(P5&gt;0,O5/P5,"-"),"-")</f>
        <v/>
      </c>
      <c r="R5" s="66">
        <f>SUM(R12:R64)</f>
        <v/>
      </c>
      <c r="S5" s="66">
        <f>SUM(S12:S64)</f>
        <v/>
      </c>
      <c r="T5" s="67">
        <f>IFERROR(IF(S5&gt;0,R5/S5,"-"),"-")</f>
        <v/>
      </c>
      <c r="U5" s="66">
        <f>SUM(U12:U64)</f>
        <v/>
      </c>
      <c r="V5" s="66">
        <f>SUM(V12:V64)</f>
        <v/>
      </c>
      <c r="W5" s="67">
        <f>IFERROR(IF(V5&gt;0,U5/V5,"-"),"-")</f>
        <v/>
      </c>
      <c r="X5" s="66">
        <f>SUM(X12:X64)</f>
        <v/>
      </c>
      <c r="Y5" s="66">
        <f>SUM(Y12:Y64)</f>
        <v/>
      </c>
      <c r="Z5" s="67">
        <f>IFERROR(IF(Y5&gt;0,X5/Y5,"-"),"-")</f>
        <v/>
      </c>
      <c r="AA5" s="66">
        <f>SUM(AA12:AA64)</f>
        <v/>
      </c>
      <c r="AB5" s="66">
        <f>SUM(AB12:AB64)</f>
        <v/>
      </c>
      <c r="AC5" s="67">
        <f>IFERROR(IF(AB5&gt;0,AA5/AB5,"-"),"-")</f>
        <v/>
      </c>
      <c r="AD5" s="66">
        <f>SUM(AD12:AD64)</f>
        <v/>
      </c>
      <c r="AE5" s="66">
        <f>SUM(AE12:AE64)</f>
        <v/>
      </c>
      <c r="AF5" s="67">
        <f>IFERROR(IF(AE5&gt;0,AD5/AE5,"-"),"-")</f>
        <v/>
      </c>
      <c r="AG5" s="66">
        <f>SUM(AG12:AG64)</f>
        <v/>
      </c>
      <c r="AH5" s="66">
        <f>SUM(AH12:AH64)</f>
        <v/>
      </c>
      <c r="AI5" s="67">
        <f>IFERROR(IF(AH5&gt;0,AG5/AH5,"-"),"-")</f>
        <v/>
      </c>
      <c r="AJ5" s="66">
        <f>SUM(AJ12:AJ64)</f>
        <v/>
      </c>
      <c r="AK5" s="66">
        <f>SUM(AK12:AK64)</f>
        <v/>
      </c>
      <c r="AL5" s="67">
        <f>IFERROR(IF(AK5&gt;0,AJ5/AK5,"-"),"-")</f>
        <v/>
      </c>
      <c r="AM5" s="66">
        <f>SUM(AM12:AM64)</f>
        <v/>
      </c>
      <c r="AN5" s="66">
        <f>SUM(AN12:AN64)</f>
        <v/>
      </c>
      <c r="AO5" s="67">
        <f>IFERROR(IF(AN5&gt;0,AM5/AN5,"-"),"-")</f>
        <v/>
      </c>
      <c r="AP5" s="66">
        <f>SUM(AP12:AP64)</f>
        <v/>
      </c>
      <c r="AQ5" s="66">
        <f>SUM(AQ12:AQ64)</f>
        <v/>
      </c>
      <c r="AR5" s="67">
        <f>IFERROR(IF(AQ5&gt;0,AP5/AQ5,"-"),"-")</f>
        <v/>
      </c>
      <c r="AS5" s="60" t="n"/>
      <c r="AT5" s="60" t="n"/>
    </row>
    <row r="6" ht="15" customHeight="1">
      <c r="A6" s="68" t="n"/>
      <c r="B6" s="59" t="n"/>
      <c r="C6" s="59" t="n"/>
      <c r="D6" s="59" t="n"/>
      <c r="E6" s="59" t="n"/>
      <c r="F6" s="59" t="n"/>
      <c r="G6" s="59" t="n"/>
      <c r="H6" s="59" t="n"/>
      <c r="I6" s="59" t="n"/>
      <c r="J6" s="59" t="n"/>
      <c r="K6" s="59" t="n"/>
      <c r="L6" s="59" t="n"/>
      <c r="M6" s="59" t="n"/>
      <c r="N6" s="59" t="n"/>
      <c r="O6" s="59" t="n"/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  <c r="Z6" s="59" t="n"/>
      <c r="AA6" s="59" t="n"/>
      <c r="AB6" s="59" t="n"/>
      <c r="AC6" s="59" t="n"/>
      <c r="AD6" s="59" t="n"/>
      <c r="AE6" s="59" t="n"/>
      <c r="AF6" s="59" t="n"/>
      <c r="AG6" s="59" t="n"/>
      <c r="AH6" s="59" t="n"/>
      <c r="AI6" s="59" t="n"/>
      <c r="AJ6" s="59" t="n"/>
      <c r="AK6" s="59" t="n"/>
      <c r="AL6" s="59" t="n"/>
      <c r="AM6" s="59" t="n"/>
      <c r="AN6" s="59" t="n"/>
      <c r="AO6" s="59" t="n"/>
      <c r="AP6" s="59" t="n"/>
      <c r="AQ6" s="59" t="n"/>
      <c r="AR6" s="59" t="n"/>
      <c r="AS6" s="59" t="n"/>
      <c r="AT6" s="59" t="n"/>
    </row>
    <row r="7" ht="15" customHeight="1">
      <c r="A7" s="60" t="n"/>
      <c r="B7" s="69" t="n"/>
      <c r="C7" s="60" t="n"/>
      <c r="D7" s="69" t="n"/>
      <c r="E7" s="60" t="n"/>
      <c r="F7" s="60" t="n"/>
      <c r="G7" s="60" t="n"/>
      <c r="H7" s="60" t="n"/>
      <c r="I7" s="60" t="n"/>
      <c r="J7" s="60" t="n"/>
      <c r="K7" s="60" t="n"/>
      <c r="L7" s="60" t="n"/>
      <c r="M7" s="60" t="n"/>
      <c r="N7" s="60" t="n"/>
      <c r="O7" s="60" t="n"/>
      <c r="P7" s="60" t="n"/>
      <c r="Q7" s="60" t="n"/>
      <c r="R7" s="60" t="n"/>
      <c r="S7" s="60" t="n"/>
      <c r="T7" s="60" t="n"/>
      <c r="U7" s="60" t="n"/>
      <c r="V7" s="60" t="n"/>
      <c r="W7" s="60" t="n"/>
      <c r="X7" s="60" t="n"/>
      <c r="Y7" s="60" t="n"/>
      <c r="Z7" s="60" t="n"/>
      <c r="AA7" s="60" t="n"/>
      <c r="AB7" s="60" t="n"/>
      <c r="AC7" s="60" t="n"/>
      <c r="AD7" s="60" t="n"/>
      <c r="AE7" s="60" t="n"/>
      <c r="AF7" s="60" t="n"/>
      <c r="AG7" s="60" t="n"/>
      <c r="AH7" s="60" t="n"/>
      <c r="AI7" s="60" t="n"/>
      <c r="AJ7" s="60" t="n"/>
      <c r="AK7" s="60" t="n"/>
      <c r="AL7" s="60" t="n"/>
      <c r="AM7" s="60" t="n"/>
      <c r="AN7" s="60" t="n"/>
      <c r="AO7" s="60" t="n"/>
      <c r="AP7" s="60" t="n"/>
      <c r="AQ7" s="60" t="n"/>
      <c r="AR7" s="60" t="n"/>
      <c r="AS7" s="60" t="n"/>
      <c r="AT7" s="60" t="n"/>
    </row>
    <row r="8" ht="15" customHeight="1">
      <c r="A8" s="60" t="n"/>
      <c r="B8" s="69" t="n"/>
      <c r="C8" s="60" t="n"/>
      <c r="D8" s="69" t="n"/>
      <c r="E8" s="60" t="n"/>
      <c r="F8" s="60" t="n"/>
      <c r="G8" s="60" t="n"/>
      <c r="H8" s="60" t="n"/>
      <c r="I8" s="60" t="n"/>
      <c r="J8" s="60" t="n"/>
      <c r="K8" s="60" t="n"/>
      <c r="L8" s="60" t="n"/>
      <c r="M8" s="60" t="n"/>
      <c r="N8" s="60" t="n"/>
      <c r="O8" s="60" t="n"/>
      <c r="P8" s="60" t="n"/>
      <c r="Q8" s="60" t="n"/>
      <c r="R8" s="60" t="n"/>
      <c r="S8" s="60" t="n"/>
      <c r="T8" s="60" t="n"/>
      <c r="U8" s="60" t="n"/>
      <c r="V8" s="60" t="n"/>
      <c r="W8" s="60" t="n"/>
      <c r="X8" s="60" t="n"/>
      <c r="Y8" s="60" t="n"/>
      <c r="Z8" s="60" t="n"/>
      <c r="AA8" s="60" t="n"/>
      <c r="AB8" s="60" t="n"/>
      <c r="AC8" s="60" t="n"/>
      <c r="AD8" s="60" t="n"/>
      <c r="AE8" s="60" t="n"/>
      <c r="AF8" s="60" t="n"/>
      <c r="AG8" s="60" t="n"/>
      <c r="AH8" s="60" t="n"/>
      <c r="AI8" s="60" t="n"/>
      <c r="AJ8" s="60" t="n"/>
      <c r="AK8" s="60" t="n"/>
      <c r="AL8" s="60" t="n"/>
      <c r="AM8" s="60" t="n"/>
      <c r="AN8" s="60" t="n"/>
      <c r="AO8" s="60" t="n"/>
      <c r="AP8" s="60" t="n"/>
      <c r="AQ8" s="60" t="n"/>
      <c r="AR8" s="60" t="n"/>
      <c r="AS8" s="60" t="n"/>
      <c r="AT8" s="60" t="n"/>
    </row>
    <row r="9" ht="15" customHeight="1">
      <c r="A9" s="60" t="n"/>
      <c r="B9" s="69" t="n"/>
      <c r="C9" s="60" t="n"/>
      <c r="D9" s="69" t="n"/>
      <c r="E9" s="60" t="n"/>
      <c r="F9" s="60" t="n"/>
      <c r="G9" s="60" t="n"/>
      <c r="H9" s="60" t="n"/>
      <c r="I9" s="60" t="n"/>
      <c r="J9" s="60" t="n"/>
      <c r="K9" s="60" t="n"/>
      <c r="L9" s="60" t="n"/>
      <c r="M9" s="60" t="n"/>
      <c r="N9" s="60" t="n"/>
      <c r="O9" s="60" t="n"/>
      <c r="P9" s="60" t="n"/>
      <c r="Q9" s="60" t="n"/>
      <c r="R9" s="60" t="n"/>
      <c r="S9" s="60" t="n"/>
      <c r="T9" s="60" t="n"/>
      <c r="U9" s="60" t="n"/>
      <c r="V9" s="60" t="n"/>
      <c r="W9" s="60" t="n"/>
      <c r="X9" s="60" t="n"/>
      <c r="Y9" s="60" t="n"/>
      <c r="Z9" s="60" t="n"/>
      <c r="AA9" s="60" t="n"/>
      <c r="AB9" s="60" t="n"/>
      <c r="AC9" s="60" t="n"/>
      <c r="AD9" s="60" t="n"/>
      <c r="AE9" s="60" t="n"/>
      <c r="AF9" s="60" t="n"/>
      <c r="AG9" s="60" t="n"/>
      <c r="AH9" s="60" t="n"/>
      <c r="AI9" s="60" t="n"/>
      <c r="AJ9" s="60" t="n"/>
      <c r="AK9" s="60" t="n"/>
      <c r="AL9" s="60" t="n"/>
      <c r="AM9" s="60" t="n"/>
      <c r="AN9" s="60" t="n"/>
      <c r="AO9" s="60" t="n"/>
      <c r="AP9" s="60" t="n"/>
      <c r="AQ9" s="60" t="n"/>
      <c r="AR9" s="60" t="n"/>
      <c r="AS9" s="60" t="n"/>
      <c r="AT9" s="60" t="n"/>
    </row>
    <row r="10" ht="15" customHeight="1">
      <c r="A10" s="60" t="n"/>
      <c r="B10" s="69" t="n"/>
      <c r="C10" s="60" t="n"/>
      <c r="D10" s="69" t="n"/>
      <c r="E10" s="60" t="n"/>
      <c r="F10" s="60" t="n"/>
      <c r="G10" s="60" t="n"/>
      <c r="H10" s="60" t="n"/>
      <c r="I10" s="60" t="n"/>
      <c r="J10" s="60" t="n"/>
      <c r="K10" s="60" t="n"/>
      <c r="L10" s="60" t="n"/>
      <c r="M10" s="60" t="n"/>
      <c r="N10" s="60" t="n"/>
      <c r="O10" s="60" t="n"/>
      <c r="P10" s="60" t="n"/>
      <c r="Q10" s="60" t="n"/>
      <c r="R10" s="60" t="n"/>
      <c r="S10" s="60" t="n"/>
      <c r="T10" s="60" t="n"/>
      <c r="U10" s="60" t="n"/>
      <c r="V10" s="60" t="n"/>
      <c r="W10" s="60" t="n"/>
      <c r="X10" s="60" t="n"/>
      <c r="Y10" s="60" t="n"/>
      <c r="Z10" s="60" t="n"/>
      <c r="AA10" s="60" t="n"/>
      <c r="AB10" s="60" t="n"/>
      <c r="AC10" s="60" t="n"/>
      <c r="AD10" s="60" t="n"/>
      <c r="AE10" s="60" t="n"/>
      <c r="AF10" s="60" t="n"/>
      <c r="AG10" s="60" t="n"/>
      <c r="AH10" s="60" t="n"/>
      <c r="AI10" s="60" t="n"/>
      <c r="AJ10" s="60" t="n"/>
      <c r="AK10" s="60" t="n"/>
      <c r="AL10" s="60" t="n"/>
      <c r="AM10" s="60" t="n"/>
      <c r="AN10" s="60" t="n"/>
      <c r="AO10" s="60" t="n"/>
      <c r="AP10" s="60" t="n"/>
      <c r="AQ10" s="60" t="n"/>
      <c r="AR10" s="60" t="n"/>
      <c r="AS10" s="60" t="n"/>
      <c r="AT10" s="60" t="n"/>
    </row>
    <row r="11" ht="15" customHeight="1">
      <c r="A11" s="60" t="n"/>
      <c r="B11" s="69" t="n"/>
      <c r="C11" s="60" t="n"/>
      <c r="D11" s="69" t="n"/>
      <c r="E11" s="60" t="n"/>
      <c r="F11" s="60" t="n"/>
      <c r="G11" s="60" t="n"/>
      <c r="H11" s="60" t="n"/>
      <c r="I11" s="60" t="n"/>
      <c r="J11" s="60" t="n"/>
      <c r="K11" s="60" t="n"/>
      <c r="L11" s="60" t="n"/>
      <c r="M11" s="60" t="n"/>
      <c r="N11" s="60" t="n"/>
      <c r="O11" s="60" t="n"/>
      <c r="P11" s="60" t="n"/>
      <c r="Q11" s="60" t="n"/>
      <c r="R11" s="60" t="n"/>
      <c r="S11" s="60" t="n"/>
      <c r="T11" s="60" t="n"/>
      <c r="U11" s="60" t="n"/>
      <c r="V11" s="60" t="n"/>
      <c r="W11" s="60" t="n"/>
      <c r="X11" s="60" t="n"/>
      <c r="Y11" s="60" t="n"/>
      <c r="Z11" s="60" t="n"/>
      <c r="AA11" s="60" t="n"/>
      <c r="AB11" s="60" t="n"/>
      <c r="AC11" s="60" t="n"/>
      <c r="AD11" s="60" t="n"/>
      <c r="AE11" s="60" t="n"/>
      <c r="AF11" s="60" t="n"/>
      <c r="AG11" s="60" t="n"/>
      <c r="AH11" s="60" t="n"/>
      <c r="AI11" s="60" t="n"/>
      <c r="AJ11" s="60" t="n"/>
      <c r="AK11" s="60" t="n"/>
      <c r="AL11" s="60" t="n"/>
      <c r="AM11" s="60" t="n"/>
      <c r="AN11" s="60" t="n"/>
      <c r="AO11" s="60" t="n"/>
      <c r="AP11" s="60" t="n"/>
      <c r="AQ11" s="60" t="n"/>
      <c r="AR11" s="60" t="n"/>
      <c r="AS11" s="60" t="n"/>
      <c r="AT11" s="60" t="n"/>
    </row>
    <row r="12" ht="15" customHeight="1">
      <c r="A12" s="70" t="n">
        <v>6</v>
      </c>
      <c r="B12" s="71" t="inlineStr">
        <is>
          <t>Heritage Collection</t>
        </is>
      </c>
      <c r="C12" s="70" t="inlineStr">
        <is>
          <t>HR0006</t>
        </is>
      </c>
      <c r="D12" s="71" t="inlineStr">
        <is>
          <t>Safeena - Heritage Collection</t>
        </is>
      </c>
      <c r="E12" s="70" t="n">
        <v>1</v>
      </c>
      <c r="F12" s="72">
        <f>SUM(I12:AP12)</f>
        <v/>
      </c>
      <c r="G12" s="72">
        <f>SUM(J12:AQ12)</f>
        <v/>
      </c>
      <c r="H12" s="73">
        <f>IFERROR(IF(G12&gt;0,F12/G12,"-"),"-")</f>
        <v/>
      </c>
      <c r="I12" s="74" t="n">
        <v>8</v>
      </c>
      <c r="J12" s="74">
        <f>IFERROR(IF(I12&gt;0,H12/I12,"-"),"-")</f>
        <v/>
      </c>
      <c r="K12" s="75" t="n">
        <v>2</v>
      </c>
      <c r="L12" s="74" t="n">
        <v>10</v>
      </c>
      <c r="M12" s="74">
        <f>IFERROR(IF(L12&gt;0,K12/L12,"-"),"-")</f>
        <v/>
      </c>
      <c r="N12" s="75" t="n">
        <v>3</v>
      </c>
      <c r="O12" s="74" t="n">
        <v>2</v>
      </c>
      <c r="P12" s="74">
        <f>IFERROR(IF(O12&gt;0,N12/O12,"-"),"-")</f>
        <v/>
      </c>
      <c r="Q12" s="75" t="n">
        <v>1</v>
      </c>
      <c r="R12" s="74" t="n">
        <v>10</v>
      </c>
      <c r="S12" s="74">
        <f>IFERROR(IF(R12&gt;0,Q12/R12,"-"),"-")</f>
        <v/>
      </c>
      <c r="T12" s="75" t="n">
        <v>3</v>
      </c>
      <c r="U12" s="74" t="n">
        <v>3</v>
      </c>
      <c r="V12" s="74">
        <f>IFERROR(IF(U12&gt;0,T12/U12,"-"),"-")</f>
        <v/>
      </c>
      <c r="W12" s="75" t="n">
        <v>2</v>
      </c>
      <c r="X12" s="74" t="n">
        <v>6</v>
      </c>
      <c r="Y12" s="74">
        <f>IFERROR(IF(X12&gt;0,W12/X12,"-"),"-")</f>
        <v/>
      </c>
      <c r="Z12" s="75" t="n">
        <v>1</v>
      </c>
      <c r="AA12" s="74" t="n">
        <v>9</v>
      </c>
      <c r="AB12" s="74">
        <f>IFERROR(IF(AA12&gt;0,Z12/AA12,"-"),"-")</f>
        <v/>
      </c>
      <c r="AC12" s="75" t="n">
        <v>2</v>
      </c>
      <c r="AD12" s="74" t="n">
        <v>14</v>
      </c>
      <c r="AE12" s="74">
        <f>IFERROR(IF(AD12&gt;0,AC12/AD12,"-"),"-")</f>
        <v/>
      </c>
      <c r="AF12" s="75" t="n">
        <v>1</v>
      </c>
      <c r="AG12" s="74" t="n"/>
      <c r="AH12" s="74">
        <f>IFERROR(IF(AG12&gt;0,AF12/AG12,"-"),"-")</f>
        <v/>
      </c>
      <c r="AI12" s="75" t="n">
        <v>1</v>
      </c>
      <c r="AJ12" s="74" t="n">
        <v>4</v>
      </c>
      <c r="AK12" s="74">
        <f>IFERROR(IF(AJ12&gt;0,AI12/AJ12,"-"),"-")</f>
        <v/>
      </c>
      <c r="AL12" s="75" t="n"/>
      <c r="AM12" s="74" t="n">
        <v>4</v>
      </c>
      <c r="AN12" s="74">
        <f>IFERROR(IF(AM12&gt;0,AL12/AM12,"-"),"-")</f>
        <v/>
      </c>
      <c r="AO12" s="75" t="n">
        <v>1</v>
      </c>
      <c r="AP12" s="74" t="n">
        <v>6</v>
      </c>
      <c r="AQ12" s="74">
        <f>IFERROR(IF(AP12&gt;0,AO12/AP12,"-"),"-")</f>
        <v/>
      </c>
      <c r="AR12" s="75" t="n">
        <v>1</v>
      </c>
      <c r="AS12" s="60" t="n"/>
      <c r="AT12" s="60" t="n"/>
    </row>
    <row r="13" ht="15" customHeight="1">
      <c r="A13" s="70" t="n">
        <v>7</v>
      </c>
      <c r="B13" s="71" t="inlineStr">
        <is>
          <t>Heritage Collection</t>
        </is>
      </c>
      <c r="C13" s="70" t="inlineStr">
        <is>
          <t>HR0007</t>
        </is>
      </c>
      <c r="D13" s="71" t="inlineStr">
        <is>
          <t>Dallah- Heritage Collection</t>
        </is>
      </c>
      <c r="E13" s="70" t="n">
        <v>1</v>
      </c>
      <c r="F13" s="72">
        <f>SUM(I13:AP13)</f>
        <v/>
      </c>
      <c r="G13" s="72">
        <f>SUM(J13:AQ13)</f>
        <v/>
      </c>
      <c r="H13" s="73">
        <f>IFERROR(IF(G13&gt;0,F13/G13,"-"),"-")</f>
        <v/>
      </c>
      <c r="I13" s="74" t="n">
        <v>4</v>
      </c>
      <c r="J13" s="74">
        <f>IFERROR(IF(I13&gt;0,H13/I13,"-"),"-")</f>
        <v/>
      </c>
      <c r="K13" s="75" t="n">
        <v>1</v>
      </c>
      <c r="L13" s="74" t="n">
        <v>14</v>
      </c>
      <c r="M13" s="74">
        <f>IFERROR(IF(L13&gt;0,K13/L13,"-"),"-")</f>
        <v/>
      </c>
      <c r="N13" s="75" t="n"/>
      <c r="O13" s="74" t="n">
        <v>5</v>
      </c>
      <c r="P13" s="74">
        <f>IFERROR(IF(O13&gt;0,N13/O13,"-"),"-")</f>
        <v/>
      </c>
      <c r="Q13" s="75" t="n"/>
      <c r="R13" s="74" t="n">
        <v>12</v>
      </c>
      <c r="S13" s="74">
        <f>IFERROR(IF(R13&gt;0,Q13/R13,"-"),"-")</f>
        <v/>
      </c>
      <c r="T13" s="75" t="n">
        <v>1</v>
      </c>
      <c r="U13" s="74" t="n">
        <v>10</v>
      </c>
      <c r="V13" s="74">
        <f>IFERROR(IF(U13&gt;0,T13/U13,"-"),"-")</f>
        <v/>
      </c>
      <c r="W13" s="75" t="n">
        <v>2</v>
      </c>
      <c r="X13" s="74" t="n">
        <v>5</v>
      </c>
      <c r="Y13" s="74">
        <f>IFERROR(IF(X13&gt;0,W13/X13,"-"),"-")</f>
        <v/>
      </c>
      <c r="Z13" s="75" t="n">
        <v>5</v>
      </c>
      <c r="AA13" s="74" t="n">
        <v>13</v>
      </c>
      <c r="AB13" s="74">
        <f>IFERROR(IF(AA13&gt;0,Z13/AA13,"-"),"-")</f>
        <v/>
      </c>
      <c r="AC13" s="75" t="n">
        <v>3</v>
      </c>
      <c r="AD13" s="74" t="n">
        <v>10</v>
      </c>
      <c r="AE13" s="74">
        <f>IFERROR(IF(AD13&gt;0,AC13/AD13,"-"),"-")</f>
        <v/>
      </c>
      <c r="AF13" s="75" t="n">
        <v>1</v>
      </c>
      <c r="AG13" s="74" t="n"/>
      <c r="AH13" s="74">
        <f>IFERROR(IF(AG13&gt;0,AF13/AG13,"-"),"-")</f>
        <v/>
      </c>
      <c r="AI13" s="75" t="n">
        <v>1</v>
      </c>
      <c r="AJ13" s="74" t="n">
        <v>2</v>
      </c>
      <c r="AK13" s="74">
        <f>IFERROR(IF(AJ13&gt;0,AI13/AJ13,"-"),"-")</f>
        <v/>
      </c>
      <c r="AL13" s="75" t="n"/>
      <c r="AM13" s="74" t="n">
        <v>4</v>
      </c>
      <c r="AN13" s="74">
        <f>IFERROR(IF(AM13&gt;0,AL13/AM13,"-"),"-")</f>
        <v/>
      </c>
      <c r="AO13" s="75" t="n">
        <v>1</v>
      </c>
      <c r="AP13" s="74" t="n">
        <v>6</v>
      </c>
      <c r="AQ13" s="74">
        <f>IFERROR(IF(AP13&gt;0,AO13/AP13,"-"),"-")</f>
        <v/>
      </c>
      <c r="AR13" s="75" t="n"/>
      <c r="AS13" s="60" t="n"/>
      <c r="AT13" s="60" t="n"/>
    </row>
    <row r="14" ht="15" customHeight="1">
      <c r="A14" s="76" t="inlineStr">
        <is>
          <t xml:space="preserve">  BEL COLLECTIONS</t>
        </is>
      </c>
      <c r="B14" s="77" t="n"/>
      <c r="C14" s="77" t="n"/>
      <c r="D14" s="77" t="n"/>
      <c r="E14" s="77" t="n"/>
      <c r="F14" s="72">
        <f>SUM(I14:AP14)</f>
        <v/>
      </c>
      <c r="G14" s="72">
        <f>SUM(J14:AQ14)</f>
        <v/>
      </c>
      <c r="H14" s="73">
        <f>IFERROR(IF(G14&gt;0,F14/G14,"-"),"-")</f>
        <v/>
      </c>
      <c r="I14" s="74" t="n">
        <v>1</v>
      </c>
      <c r="J14" s="74">
        <f>IFERROR(IF(I14&gt;0,H14/I14,"-"),"-")</f>
        <v/>
      </c>
      <c r="K14" s="75" t="n">
        <v>1</v>
      </c>
      <c r="L14" s="74" t="n"/>
      <c r="M14" s="74">
        <f>IFERROR(IF(L14&gt;0,K14/L14,"-"),"-")</f>
        <v/>
      </c>
      <c r="N14" s="75" t="n">
        <v>1</v>
      </c>
      <c r="O14" s="74" t="n">
        <v>2</v>
      </c>
      <c r="P14" s="74">
        <f>IFERROR(IF(O14&gt;0,N14/O14,"-"),"-")</f>
        <v/>
      </c>
      <c r="Q14" s="75" t="n"/>
      <c r="R14" s="74" t="n">
        <v>2</v>
      </c>
      <c r="S14" s="74">
        <f>IFERROR(IF(R14&gt;0,Q14/R14,"-"),"-")</f>
        <v/>
      </c>
      <c r="T14" s="75" t="n">
        <v>1</v>
      </c>
      <c r="U14" s="74" t="n">
        <v>2</v>
      </c>
      <c r="V14" s="74">
        <f>IFERROR(IF(U14&gt;0,T14/U14,"-"),"-")</f>
        <v/>
      </c>
      <c r="W14" s="75" t="n"/>
      <c r="X14" s="74" t="n">
        <v>1</v>
      </c>
      <c r="Y14" s="74">
        <f>IFERROR(IF(X14&gt;0,W14/X14,"-"),"-")</f>
        <v/>
      </c>
      <c r="Z14" s="75" t="n"/>
      <c r="AA14" s="74" t="n">
        <v>2</v>
      </c>
      <c r="AB14" s="74">
        <f>IFERROR(IF(AA14&gt;0,Z14/AA14,"-"),"-")</f>
        <v/>
      </c>
      <c r="AC14" s="75" t="n"/>
      <c r="AD14" s="74" t="n">
        <v>2</v>
      </c>
      <c r="AE14" s="74">
        <f>IFERROR(IF(AD14&gt;0,AC14/AD14,"-"),"-")</f>
        <v/>
      </c>
      <c r="AF14" s="75" t="n">
        <v>1</v>
      </c>
      <c r="AG14" s="74" t="n"/>
      <c r="AH14" s="74">
        <f>IFERROR(IF(AG14&gt;0,AF14/AG14,"-"),"-")</f>
        <v/>
      </c>
      <c r="AI14" s="75" t="n">
        <v>1</v>
      </c>
      <c r="AJ14" s="74" t="n">
        <v>1</v>
      </c>
      <c r="AK14" s="74">
        <f>IFERROR(IF(AJ14&gt;0,AI14/AJ14,"-"),"-")</f>
        <v/>
      </c>
      <c r="AL14" s="75" t="n"/>
      <c r="AM14" s="74" t="n"/>
      <c r="AN14" s="74">
        <f>IFERROR(IF(AM14&gt;0,AL14/AM14,"-"),"-")</f>
        <v/>
      </c>
      <c r="AO14" s="75" t="n">
        <v>1</v>
      </c>
      <c r="AP14" s="74" t="n">
        <v>1</v>
      </c>
      <c r="AQ14" s="74">
        <f>IFERROR(IF(AP14&gt;0,AO14/AP14,"-"),"-")</f>
        <v/>
      </c>
      <c r="AR14" s="75" t="n"/>
      <c r="AS14" s="59" t="n"/>
      <c r="AT14" s="59" t="n"/>
    </row>
    <row r="15" ht="15" customHeight="1">
      <c r="A15" s="70" t="n">
        <v>8</v>
      </c>
      <c r="B15" s="71" t="inlineStr">
        <is>
          <t>Bel Collections</t>
        </is>
      </c>
      <c r="C15" s="70" t="inlineStr">
        <is>
          <t>B00001</t>
        </is>
      </c>
      <c r="D15" s="71" t="inlineStr">
        <is>
          <t>Bergamot bel Amber</t>
        </is>
      </c>
      <c r="E15" s="70" t="n">
        <v>3</v>
      </c>
      <c r="F15" s="72">
        <f>SUM(I15:AP15)</f>
        <v/>
      </c>
      <c r="G15" s="72">
        <f>SUM(J15:AQ15)</f>
        <v/>
      </c>
      <c r="H15" s="73">
        <f>IFERROR(IF(G15&gt;0,F15/G15,"-"),"-")</f>
        <v/>
      </c>
      <c r="I15" s="74" t="n">
        <v>7</v>
      </c>
      <c r="J15" s="74">
        <f>IFERROR(IF(I15&gt;0,H15/I15,"-"),"-")</f>
        <v/>
      </c>
      <c r="K15" s="75" t="n">
        <v>4</v>
      </c>
      <c r="L15" s="74" t="n">
        <v>14</v>
      </c>
      <c r="M15" s="74">
        <f>IFERROR(IF(L15&gt;0,K15/L15,"-"),"-")</f>
        <v/>
      </c>
      <c r="N15" s="75" t="n">
        <v>1</v>
      </c>
      <c r="O15" s="74" t="n">
        <v>8</v>
      </c>
      <c r="P15" s="74">
        <f>IFERROR(IF(O15&gt;0,N15/O15,"-"),"-")</f>
        <v/>
      </c>
      <c r="Q15" s="75" t="n">
        <v>3</v>
      </c>
      <c r="R15" s="74" t="n">
        <v>9</v>
      </c>
      <c r="S15" s="74">
        <f>IFERROR(IF(R15&gt;0,Q15/R15,"-"),"-")</f>
        <v/>
      </c>
      <c r="T15" s="75" t="n">
        <v>2</v>
      </c>
      <c r="U15" s="74" t="n">
        <v>8</v>
      </c>
      <c r="V15" s="74">
        <f>IFERROR(IF(U15&gt;0,T15/U15,"-"),"-")</f>
        <v/>
      </c>
      <c r="W15" s="75" t="n">
        <v>3</v>
      </c>
      <c r="X15" s="74" t="n">
        <v>5</v>
      </c>
      <c r="Y15" s="74">
        <f>IFERROR(IF(X15&gt;0,W15/X15,"-"),"-")</f>
        <v/>
      </c>
      <c r="Z15" s="75" t="n">
        <v>4</v>
      </c>
      <c r="AA15" s="74" t="n">
        <v>28</v>
      </c>
      <c r="AB15" s="74">
        <f>IFERROR(IF(AA15&gt;0,Z15/AA15,"-"),"-")</f>
        <v/>
      </c>
      <c r="AC15" s="75" t="n">
        <v>4</v>
      </c>
      <c r="AD15" s="74" t="n">
        <v>10</v>
      </c>
      <c r="AE15" s="74">
        <f>IFERROR(IF(AD15&gt;0,AC15/AD15,"-"),"-")</f>
        <v/>
      </c>
      <c r="AF15" s="75" t="n">
        <v>1</v>
      </c>
      <c r="AG15" s="74" t="n"/>
      <c r="AH15" s="74">
        <f>IFERROR(IF(AG15&gt;0,AF15/AG15,"-"),"-")</f>
        <v/>
      </c>
      <c r="AI15" s="75" t="n">
        <v>2</v>
      </c>
      <c r="AJ15" s="74" t="n">
        <v>6</v>
      </c>
      <c r="AK15" s="74">
        <f>IFERROR(IF(AJ15&gt;0,AI15/AJ15,"-"),"-")</f>
        <v/>
      </c>
      <c r="AL15" s="75" t="n">
        <v>3</v>
      </c>
      <c r="AM15" s="74" t="n">
        <v>5</v>
      </c>
      <c r="AN15" s="74">
        <f>IFERROR(IF(AM15&gt;0,AL15/AM15,"-"),"-")</f>
        <v/>
      </c>
      <c r="AO15" s="75" t="n">
        <v>3</v>
      </c>
      <c r="AP15" s="74" t="n">
        <v>11</v>
      </c>
      <c r="AQ15" s="74">
        <f>IFERROR(IF(AP15&gt;0,AO15/AP15,"-"),"-")</f>
        <v/>
      </c>
      <c r="AR15" s="75" t="n">
        <v>1</v>
      </c>
      <c r="AS15" s="60" t="n"/>
      <c r="AT15" s="60" t="n"/>
    </row>
    <row r="16" ht="15" customHeight="1">
      <c r="A16" s="70" t="n">
        <v>9</v>
      </c>
      <c r="B16" s="71" t="inlineStr">
        <is>
          <t>Bel Collections</t>
        </is>
      </c>
      <c r="C16" s="70" t="inlineStr">
        <is>
          <t>B00002</t>
        </is>
      </c>
      <c r="D16" s="71" t="inlineStr">
        <is>
          <t>Jasmin bel Musk</t>
        </is>
      </c>
      <c r="E16" s="70" t="n">
        <v>4</v>
      </c>
      <c r="F16" s="72">
        <f>SUM(I16:AP16)</f>
        <v/>
      </c>
      <c r="G16" s="72">
        <f>SUM(J16:AQ16)</f>
        <v/>
      </c>
      <c r="H16" s="73">
        <f>IFERROR(IF(G16&gt;0,F16/G16,"-"),"-")</f>
        <v/>
      </c>
      <c r="I16" s="74" t="n">
        <v>15</v>
      </c>
      <c r="J16" s="74">
        <f>IFERROR(IF(I16&gt;0,H16/I16,"-"),"-")</f>
        <v/>
      </c>
      <c r="K16" s="75" t="n">
        <v>6</v>
      </c>
      <c r="L16" s="74" t="n">
        <v>45</v>
      </c>
      <c r="M16" s="74">
        <f>IFERROR(IF(L16&gt;0,K16/L16,"-"),"-")</f>
        <v/>
      </c>
      <c r="N16" s="75" t="n">
        <v>3</v>
      </c>
      <c r="O16" s="74" t="n">
        <v>11</v>
      </c>
      <c r="P16" s="74">
        <f>IFERROR(IF(O16&gt;0,N16/O16,"-"),"-")</f>
        <v/>
      </c>
      <c r="Q16" s="75" t="n">
        <v>4</v>
      </c>
      <c r="R16" s="74" t="n">
        <v>23</v>
      </c>
      <c r="S16" s="74">
        <f>IFERROR(IF(R16&gt;0,Q16/R16,"-"),"-")</f>
        <v/>
      </c>
      <c r="T16" s="75" t="n">
        <v>5</v>
      </c>
      <c r="U16" s="74" t="n">
        <v>28</v>
      </c>
      <c r="V16" s="74">
        <f>IFERROR(IF(U16&gt;0,T16/U16,"-"),"-")</f>
        <v/>
      </c>
      <c r="W16" s="75" t="n">
        <v>9</v>
      </c>
      <c r="X16" s="74" t="n">
        <v>24</v>
      </c>
      <c r="Y16" s="74">
        <f>IFERROR(IF(X16&gt;0,W16/X16,"-"),"-")</f>
        <v/>
      </c>
      <c r="Z16" s="75" t="n">
        <v>9</v>
      </c>
      <c r="AA16" s="74" t="n">
        <v>48</v>
      </c>
      <c r="AB16" s="74">
        <f>IFERROR(IF(AA16&gt;0,Z16/AA16,"-"),"-")</f>
        <v/>
      </c>
      <c r="AC16" s="75" t="n">
        <v>10</v>
      </c>
      <c r="AD16" s="74" t="n">
        <v>45</v>
      </c>
      <c r="AE16" s="74">
        <f>IFERROR(IF(AD16&gt;0,AC16/AD16,"-"),"-")</f>
        <v/>
      </c>
      <c r="AF16" s="75" t="n">
        <v>2</v>
      </c>
      <c r="AG16" s="74" t="n"/>
      <c r="AH16" s="74">
        <f>IFERROR(IF(AG16&gt;0,AF16/AG16,"-"),"-")</f>
        <v/>
      </c>
      <c r="AI16" s="75" t="n">
        <v>6</v>
      </c>
      <c r="AJ16" s="74" t="n">
        <v>24</v>
      </c>
      <c r="AK16" s="74">
        <f>IFERROR(IF(AJ16&gt;0,AI16/AJ16,"-"),"-")</f>
        <v/>
      </c>
      <c r="AL16" s="75" t="n">
        <v>2</v>
      </c>
      <c r="AM16" s="74" t="n">
        <v>4</v>
      </c>
      <c r="AN16" s="74">
        <f>IFERROR(IF(AM16&gt;0,AL16/AM16,"-"),"-")</f>
        <v/>
      </c>
      <c r="AO16" s="75" t="n">
        <v>5</v>
      </c>
      <c r="AP16" s="74" t="n">
        <v>12</v>
      </c>
      <c r="AQ16" s="74">
        <f>IFERROR(IF(AP16&gt;0,AO16/AP16,"-"),"-")</f>
        <v/>
      </c>
      <c r="AR16" s="75" t="n">
        <v>4</v>
      </c>
      <c r="AS16" s="60" t="n"/>
      <c r="AT16" s="60" t="n"/>
    </row>
    <row r="17" ht="15" customHeight="1">
      <c r="A17" s="70" t="n">
        <v>10</v>
      </c>
      <c r="B17" s="71" t="inlineStr">
        <is>
          <t>Bel Collections</t>
        </is>
      </c>
      <c r="C17" s="70" t="inlineStr">
        <is>
          <t>B00003</t>
        </is>
      </c>
      <c r="D17" s="71" t="inlineStr">
        <is>
          <t>Amber Bel oud</t>
        </is>
      </c>
      <c r="E17" s="70" t="n"/>
      <c r="F17" s="72">
        <f>SUM(I17:AP17)</f>
        <v/>
      </c>
      <c r="G17" s="72">
        <f>SUM(J17:AQ17)</f>
        <v/>
      </c>
      <c r="H17" s="73">
        <f>IFERROR(IF(G17&gt;0,F17/G17,"-"),"-")</f>
        <v/>
      </c>
      <c r="I17" s="74" t="n">
        <v>1</v>
      </c>
      <c r="J17" s="74">
        <f>IFERROR(IF(I17&gt;0,H17/I17,"-"),"-")</f>
        <v/>
      </c>
      <c r="K17" s="75" t="n">
        <v>1</v>
      </c>
      <c r="L17" s="74" t="n">
        <v>1</v>
      </c>
      <c r="M17" s="74">
        <f>IFERROR(IF(L17&gt;0,K17/L17,"-"),"-")</f>
        <v/>
      </c>
      <c r="N17" s="75" t="n">
        <v>1</v>
      </c>
      <c r="O17" s="74" t="n"/>
      <c r="P17" s="74">
        <f>IFERROR(IF(O17&gt;0,N17/O17,"-"),"-")</f>
        <v/>
      </c>
      <c r="Q17" s="75" t="n"/>
      <c r="R17" s="74" t="n">
        <v>7</v>
      </c>
      <c r="S17" s="74">
        <f>IFERROR(IF(R17&gt;0,Q17/R17,"-"),"-")</f>
        <v/>
      </c>
      <c r="T17" s="75" t="n"/>
      <c r="U17" s="74" t="n"/>
      <c r="V17" s="74">
        <f>IFERROR(IF(U17&gt;0,T17/U17,"-"),"-")</f>
        <v/>
      </c>
      <c r="W17" s="75" t="n"/>
      <c r="X17" s="74" t="n">
        <v>1</v>
      </c>
      <c r="Y17" s="74">
        <f>IFERROR(IF(X17&gt;0,W17/X17,"-"),"-")</f>
        <v/>
      </c>
      <c r="Z17" s="75" t="n"/>
      <c r="AA17" s="74" t="n">
        <v>3</v>
      </c>
      <c r="AB17" s="74">
        <f>IFERROR(IF(AA17&gt;0,Z17/AA17,"-"),"-")</f>
        <v/>
      </c>
      <c r="AC17" s="75" t="n">
        <v>1</v>
      </c>
      <c r="AD17" s="74" t="n">
        <v>3</v>
      </c>
      <c r="AE17" s="74">
        <f>IFERROR(IF(AD17&gt;0,AC17/AD17,"-"),"-")</f>
        <v/>
      </c>
      <c r="AF17" s="75" t="n"/>
      <c r="AG17" s="74" t="n"/>
      <c r="AH17" s="74">
        <f>IFERROR(IF(AG17&gt;0,AF17/AG17,"-"),"-")</f>
        <v/>
      </c>
      <c r="AI17" s="75" t="n"/>
      <c r="AJ17" s="74" t="n"/>
      <c r="AK17" s="74">
        <f>IFERROR(IF(AJ17&gt;0,AI17/AJ17,"-"),"-")</f>
        <v/>
      </c>
      <c r="AL17" s="75" t="n"/>
      <c r="AM17" s="74" t="n"/>
      <c r="AN17" s="74">
        <f>IFERROR(IF(AM17&gt;0,AL17/AM17,"-"),"-")</f>
        <v/>
      </c>
      <c r="AO17" s="75" t="n">
        <v>1</v>
      </c>
      <c r="AP17" s="74" t="n">
        <v>3</v>
      </c>
      <c r="AQ17" s="74">
        <f>IFERROR(IF(AP17&gt;0,AO17/AP17,"-"),"-")</f>
        <v/>
      </c>
      <c r="AR17" s="75" t="n"/>
      <c r="AS17" s="60" t="n"/>
      <c r="AT17" s="60" t="n"/>
    </row>
    <row r="18" ht="15" customHeight="1">
      <c r="A18" s="70" t="n">
        <v>11</v>
      </c>
      <c r="B18" s="71" t="inlineStr">
        <is>
          <t>Bel Collections</t>
        </is>
      </c>
      <c r="C18" s="70" t="inlineStr">
        <is>
          <t>B00004</t>
        </is>
      </c>
      <c r="D18" s="71" t="inlineStr">
        <is>
          <t>Meydan</t>
        </is>
      </c>
      <c r="E18" s="70" t="n"/>
      <c r="F18" s="72">
        <f>SUM(I18:AP18)</f>
        <v/>
      </c>
      <c r="G18" s="72">
        <f>SUM(J18:AQ18)</f>
        <v/>
      </c>
      <c r="H18" s="73">
        <f>IFERROR(IF(G18&gt;0,F18/G18,"-"),"-")</f>
        <v/>
      </c>
      <c r="I18" s="74" t="n">
        <v>3</v>
      </c>
      <c r="J18" s="74">
        <f>IFERROR(IF(I18&gt;0,H18/I18,"-"),"-")</f>
        <v/>
      </c>
      <c r="K18" s="75" t="n">
        <v>2</v>
      </c>
      <c r="L18" s="74" t="n">
        <v>1</v>
      </c>
      <c r="M18" s="74">
        <f>IFERROR(IF(L18&gt;0,K18/L18,"-"),"-")</f>
        <v/>
      </c>
      <c r="N18" s="75" t="n">
        <v>1</v>
      </c>
      <c r="O18" s="74" t="n">
        <v>2</v>
      </c>
      <c r="P18" s="74">
        <f>IFERROR(IF(O18&gt;0,N18/O18,"-"),"-")</f>
        <v/>
      </c>
      <c r="Q18" s="75" t="n">
        <v>2</v>
      </c>
      <c r="R18" s="74" t="n">
        <v>7</v>
      </c>
      <c r="S18" s="74">
        <f>IFERROR(IF(R18&gt;0,Q18/R18,"-"),"-")</f>
        <v/>
      </c>
      <c r="T18" s="75" t="n"/>
      <c r="U18" s="74" t="n">
        <v>2</v>
      </c>
      <c r="V18" s="74">
        <f>IFERROR(IF(U18&gt;0,T18/U18,"-"),"-")</f>
        <v/>
      </c>
      <c r="W18" s="75" t="n"/>
      <c r="X18" s="74" t="n">
        <v>1</v>
      </c>
      <c r="Y18" s="74">
        <f>IFERROR(IF(X18&gt;0,W18/X18,"-"),"-")</f>
        <v/>
      </c>
      <c r="Z18" s="75" t="n"/>
      <c r="AA18" s="74" t="n">
        <v>3</v>
      </c>
      <c r="AB18" s="74">
        <f>IFERROR(IF(AA18&gt;0,Z18/AA18,"-"),"-")</f>
        <v/>
      </c>
      <c r="AC18" s="75" t="n"/>
      <c r="AD18" s="74" t="n">
        <v>1</v>
      </c>
      <c r="AE18" s="74">
        <f>IFERROR(IF(AD18&gt;0,AC18/AD18,"-"),"-")</f>
        <v/>
      </c>
      <c r="AF18" s="75" t="n"/>
      <c r="AG18" s="74" t="n"/>
      <c r="AH18" s="74">
        <f>IFERROR(IF(AG18&gt;0,AF18/AG18,"-"),"-")</f>
        <v/>
      </c>
      <c r="AI18" s="75" t="n">
        <v>1</v>
      </c>
      <c r="AJ18" s="74" t="n">
        <v>2</v>
      </c>
      <c r="AK18" s="74">
        <f>IFERROR(IF(AJ18&gt;0,AI18/AJ18,"-"),"-")</f>
        <v/>
      </c>
      <c r="AL18" s="75" t="n"/>
      <c r="AM18" s="74" t="n">
        <v>2</v>
      </c>
      <c r="AN18" s="74">
        <f>IFERROR(IF(AM18&gt;0,AL18/AM18,"-"),"-")</f>
        <v/>
      </c>
      <c r="AO18" s="75" t="n">
        <v>1</v>
      </c>
      <c r="AP18" s="74" t="n">
        <v>4</v>
      </c>
      <c r="AQ18" s="74">
        <f>IFERROR(IF(AP18&gt;0,AO18/AP18,"-"),"-")</f>
        <v/>
      </c>
      <c r="AR18" s="75" t="n"/>
      <c r="AS18" s="60" t="n"/>
      <c r="AT18" s="60" t="n"/>
    </row>
    <row r="19" ht="15" customHeight="1">
      <c r="A19" s="70" t="n">
        <v>12</v>
      </c>
      <c r="B19" s="71" t="inlineStr">
        <is>
          <t>Bel Collections</t>
        </is>
      </c>
      <c r="C19" s="70" t="inlineStr">
        <is>
          <t>B00005</t>
        </is>
      </c>
      <c r="D19" s="71" t="inlineStr">
        <is>
          <t>Mystery</t>
        </is>
      </c>
      <c r="E19" s="70" t="n">
        <v>1</v>
      </c>
      <c r="F19" s="72">
        <f>SUM(I19:AP19)</f>
        <v/>
      </c>
      <c r="G19" s="72">
        <f>SUM(J19:AQ19)</f>
        <v/>
      </c>
      <c r="H19" s="73">
        <f>IFERROR(IF(G19&gt;0,F19/G19,"-"),"-")</f>
        <v/>
      </c>
      <c r="I19" s="74" t="n">
        <v>3</v>
      </c>
      <c r="J19" s="74">
        <f>IFERROR(IF(I19&gt;0,H19/I19,"-"),"-")</f>
        <v/>
      </c>
      <c r="K19" s="75" t="n">
        <v>1</v>
      </c>
      <c r="L19" s="74" t="n">
        <v>45</v>
      </c>
      <c r="M19" s="74">
        <f>IFERROR(IF(L19&gt;0,K19/L19,"-"),"-")</f>
        <v/>
      </c>
      <c r="N19" s="75" t="n"/>
      <c r="O19" s="74" t="n">
        <v>24</v>
      </c>
      <c r="P19" s="74">
        <f>IFERROR(IF(O19&gt;0,N19/O19,"-"),"-")</f>
        <v/>
      </c>
      <c r="Q19" s="75" t="n">
        <v>1</v>
      </c>
      <c r="R19" s="74" t="n">
        <v>6</v>
      </c>
      <c r="S19" s="74">
        <f>IFERROR(IF(R19&gt;0,Q19/R19,"-"),"-")</f>
        <v/>
      </c>
      <c r="T19" s="75" t="n"/>
      <c r="U19" s="74" t="n">
        <v>5</v>
      </c>
      <c r="V19" s="74">
        <f>IFERROR(IF(U19&gt;0,T19/U19,"-"),"-")</f>
        <v/>
      </c>
      <c r="W19" s="75" t="n">
        <v>1</v>
      </c>
      <c r="X19" s="74" t="n">
        <v>5</v>
      </c>
      <c r="Y19" s="74">
        <f>IFERROR(IF(X19&gt;0,W19/X19,"-"),"-")</f>
        <v/>
      </c>
      <c r="Z19" s="75" t="n">
        <v>2</v>
      </c>
      <c r="AA19" s="74" t="n">
        <v>7</v>
      </c>
      <c r="AB19" s="74">
        <f>IFERROR(IF(AA19&gt;0,Z19/AA19,"-"),"-")</f>
        <v/>
      </c>
      <c r="AC19" s="75" t="n">
        <v>1</v>
      </c>
      <c r="AD19" s="74" t="n">
        <v>5</v>
      </c>
      <c r="AE19" s="74">
        <f>IFERROR(IF(AD19&gt;0,AC19/AD19,"-"),"-")</f>
        <v/>
      </c>
      <c r="AF19" s="75" t="n"/>
      <c r="AG19" s="74" t="n"/>
      <c r="AH19" s="74">
        <f>IFERROR(IF(AG19&gt;0,AF19/AG19,"-"),"-")</f>
        <v/>
      </c>
      <c r="AI19" s="75" t="n">
        <v>2</v>
      </c>
      <c r="AJ19" s="74" t="n">
        <v>4</v>
      </c>
      <c r="AK19" s="74">
        <f>IFERROR(IF(AJ19&gt;0,AI19/AJ19,"-"),"-")</f>
        <v/>
      </c>
      <c r="AL19" s="75" t="n"/>
      <c r="AM19" s="74" t="n"/>
      <c r="AN19" s="74">
        <f>IFERROR(IF(AM19&gt;0,AL19/AM19,"-"),"-")</f>
        <v/>
      </c>
      <c r="AO19" s="75" t="n">
        <v>2</v>
      </c>
      <c r="AP19" s="74" t="n">
        <v>6</v>
      </c>
      <c r="AQ19" s="74">
        <f>IFERROR(IF(AP19&gt;0,AO19/AP19,"-"),"-")</f>
        <v/>
      </c>
      <c r="AR19" s="75" t="n">
        <v>2</v>
      </c>
      <c r="AS19" s="60" t="n"/>
      <c r="AT19" s="60" t="n"/>
    </row>
    <row r="20" ht="15" customHeight="1">
      <c r="A20" s="70" t="n">
        <v>13</v>
      </c>
      <c r="B20" s="71" t="inlineStr">
        <is>
          <t>Bel Collections</t>
        </is>
      </c>
      <c r="C20" s="70" t="inlineStr">
        <is>
          <t>B00006</t>
        </is>
      </c>
      <c r="D20" s="71" t="inlineStr">
        <is>
          <t>Mersal</t>
        </is>
      </c>
      <c r="E20" s="70" t="n">
        <v>4</v>
      </c>
      <c r="F20" s="72">
        <f>SUM(I20:AP20)</f>
        <v/>
      </c>
      <c r="G20" s="72">
        <f>SUM(J20:AQ20)</f>
        <v/>
      </c>
      <c r="H20" s="73">
        <f>IFERROR(IF(G20&gt;0,F20/G20,"-"),"-")</f>
        <v/>
      </c>
      <c r="I20" s="74" t="n">
        <v>14</v>
      </c>
      <c r="J20" s="74">
        <f>IFERROR(IF(I20&gt;0,H20/I20,"-"),"-")</f>
        <v/>
      </c>
      <c r="K20" s="75" t="n">
        <v>6</v>
      </c>
      <c r="L20" s="74" t="n">
        <v>2</v>
      </c>
      <c r="M20" s="74">
        <f>IFERROR(IF(L20&gt;0,K20/L20,"-"),"-")</f>
        <v/>
      </c>
      <c r="N20" s="75" t="n">
        <v>3</v>
      </c>
      <c r="O20" s="74" t="n">
        <v>6</v>
      </c>
      <c r="P20" s="74">
        <f>IFERROR(IF(O20&gt;0,N20/O20,"-"),"-")</f>
        <v/>
      </c>
      <c r="Q20" s="75" t="n">
        <v>4</v>
      </c>
      <c r="R20" s="74" t="n">
        <v>42</v>
      </c>
      <c r="S20" s="74">
        <f>IFERROR(IF(R20&gt;0,Q20/R20,"-"),"-")</f>
        <v/>
      </c>
      <c r="T20" s="75" t="n">
        <v>1</v>
      </c>
      <c r="U20" s="74" t="n">
        <v>28</v>
      </c>
      <c r="V20" s="74">
        <f>IFERROR(IF(U20&gt;0,T20/U20,"-"),"-")</f>
        <v/>
      </c>
      <c r="W20" s="75" t="n">
        <v>7</v>
      </c>
      <c r="X20" s="74" t="n">
        <v>32</v>
      </c>
      <c r="Y20" s="74">
        <f>IFERROR(IF(X20&gt;0,W20/X20,"-"),"-")</f>
        <v/>
      </c>
      <c r="Z20" s="75" t="n">
        <v>8</v>
      </c>
      <c r="AA20" s="74" t="n">
        <v>64</v>
      </c>
      <c r="AB20" s="74">
        <f>IFERROR(IF(AA20&gt;0,Z20/AA20,"-"),"-")</f>
        <v/>
      </c>
      <c r="AC20" s="75" t="n">
        <v>7</v>
      </c>
      <c r="AD20" s="74" t="n">
        <v>41</v>
      </c>
      <c r="AE20" s="74">
        <f>IFERROR(IF(AD20&gt;0,AC20/AD20,"-"),"-")</f>
        <v/>
      </c>
      <c r="AF20" s="75" t="n">
        <v>1</v>
      </c>
      <c r="AG20" s="74" t="n"/>
      <c r="AH20" s="74">
        <f>IFERROR(IF(AG20&gt;0,AF20/AG20,"-"),"-")</f>
        <v/>
      </c>
      <c r="AI20" s="75" t="n">
        <v>5</v>
      </c>
      <c r="AJ20" s="74" t="n">
        <v>28</v>
      </c>
      <c r="AK20" s="74">
        <f>IFERROR(IF(AJ20&gt;0,AI20/AJ20,"-"),"-")</f>
        <v/>
      </c>
      <c r="AL20" s="75" t="n">
        <v>2</v>
      </c>
      <c r="AM20" s="74" t="n">
        <v>15</v>
      </c>
      <c r="AN20" s="74">
        <f>IFERROR(IF(AM20&gt;0,AL20/AM20,"-"),"-")</f>
        <v/>
      </c>
      <c r="AO20" s="75" t="n">
        <v>3</v>
      </c>
      <c r="AP20" s="74" t="n">
        <v>36</v>
      </c>
      <c r="AQ20" s="74">
        <f>IFERROR(IF(AP20&gt;0,AO20/AP20,"-"),"-")</f>
        <v/>
      </c>
      <c r="AR20" s="75" t="n">
        <v>6</v>
      </c>
      <c r="AS20" s="60" t="n"/>
      <c r="AT20" s="60" t="n"/>
    </row>
    <row r="21" ht="15" customHeight="1">
      <c r="A21" s="70" t="n">
        <v>14</v>
      </c>
      <c r="B21" s="71" t="inlineStr">
        <is>
          <t>Bel Collections</t>
        </is>
      </c>
      <c r="C21" s="70" t="inlineStr">
        <is>
          <t>B00007</t>
        </is>
      </c>
      <c r="D21" s="71" t="inlineStr">
        <is>
          <t>Peaceful Life</t>
        </is>
      </c>
      <c r="E21" s="70" t="n"/>
      <c r="F21" s="72">
        <f>SUM(I21:AP21)</f>
        <v/>
      </c>
      <c r="G21" s="72">
        <f>SUM(J21:AQ21)</f>
        <v/>
      </c>
      <c r="H21" s="73">
        <f>IFERROR(IF(G21&gt;0,F21/G21,"-"),"-")</f>
        <v/>
      </c>
      <c r="I21" s="74" t="n"/>
      <c r="J21" s="74">
        <f>IFERROR(IF(I21&gt;0,H21/I21,"-"),"-")</f>
        <v/>
      </c>
      <c r="K21" s="75" t="n"/>
      <c r="L21" s="74" t="n">
        <v>2</v>
      </c>
      <c r="M21" s="74">
        <f>IFERROR(IF(L21&gt;0,K21/L21,"-"),"-")</f>
        <v/>
      </c>
      <c r="N21" s="75" t="n"/>
      <c r="O21" s="74" t="n">
        <v>1</v>
      </c>
      <c r="P21" s="74">
        <f>IFERROR(IF(O21&gt;0,N21/O21,"-"),"-")</f>
        <v/>
      </c>
      <c r="Q21" s="75" t="n"/>
      <c r="R21" s="74" t="n">
        <v>3</v>
      </c>
      <c r="S21" s="74">
        <f>IFERROR(IF(R21&gt;0,Q21/R21,"-"),"-")</f>
        <v/>
      </c>
      <c r="T21" s="75" t="n"/>
      <c r="U21" s="74" t="n">
        <v>1</v>
      </c>
      <c r="V21" s="74">
        <f>IFERROR(IF(U21&gt;0,T21/U21,"-"),"-")</f>
        <v/>
      </c>
      <c r="W21" s="75" t="n">
        <v>1</v>
      </c>
      <c r="X21" s="74" t="n">
        <v>4</v>
      </c>
      <c r="Y21" s="74">
        <f>IFERROR(IF(X21&gt;0,W21/X21,"-"),"-")</f>
        <v/>
      </c>
      <c r="Z21" s="75" t="n"/>
      <c r="AA21" s="74" t="n">
        <v>2</v>
      </c>
      <c r="AB21" s="74">
        <f>IFERROR(IF(AA21&gt;0,Z21/AA21,"-"),"-")</f>
        <v/>
      </c>
      <c r="AC21" s="75" t="n"/>
      <c r="AD21" s="74" t="n">
        <v>3</v>
      </c>
      <c r="AE21" s="74">
        <f>IFERROR(IF(AD21&gt;0,AC21/AD21,"-"),"-")</f>
        <v/>
      </c>
      <c r="AF21" s="75" t="n">
        <v>1</v>
      </c>
      <c r="AG21" s="74" t="n"/>
      <c r="AH21" s="74">
        <f>IFERROR(IF(AG21&gt;0,AF21/AG21,"-"),"-")</f>
        <v/>
      </c>
      <c r="AI21" s="75" t="n"/>
      <c r="AJ21" s="74" t="n">
        <v>5</v>
      </c>
      <c r="AK21" s="74">
        <f>IFERROR(IF(AJ21&gt;0,AI21/AJ21,"-"),"-")</f>
        <v/>
      </c>
      <c r="AL21" s="75" t="n"/>
      <c r="AM21" s="74" t="n">
        <v>1</v>
      </c>
      <c r="AN21" s="74">
        <f>IFERROR(IF(AM21&gt;0,AL21/AM21,"-"),"-")</f>
        <v/>
      </c>
      <c r="AO21" s="75" t="n">
        <v>1</v>
      </c>
      <c r="AP21" s="74" t="n">
        <v>3</v>
      </c>
      <c r="AQ21" s="74">
        <f>IFERROR(IF(AP21&gt;0,AO21/AP21,"-"),"-")</f>
        <v/>
      </c>
      <c r="AR21" s="75" t="n"/>
      <c r="AS21" s="60" t="n"/>
      <c r="AT21" s="60" t="n"/>
    </row>
    <row r="22" ht="15" customHeight="1">
      <c r="A22" s="70" t="n">
        <v>15</v>
      </c>
      <c r="B22" s="71" t="inlineStr">
        <is>
          <t>Bel Collections</t>
        </is>
      </c>
      <c r="C22" s="70" t="inlineStr">
        <is>
          <t>B00008</t>
        </is>
      </c>
      <c r="D22" s="71" t="inlineStr">
        <is>
          <t>Midnight Glow</t>
        </is>
      </c>
      <c r="E22" s="70" t="n">
        <v>3</v>
      </c>
      <c r="F22" s="72">
        <f>SUM(I22:AP22)</f>
        <v/>
      </c>
      <c r="G22" s="72">
        <f>SUM(J22:AQ22)</f>
        <v/>
      </c>
      <c r="H22" s="73">
        <f>IFERROR(IF(G22&gt;0,F22/G22,"-"),"-")</f>
        <v/>
      </c>
      <c r="I22" s="74" t="n">
        <v>5</v>
      </c>
      <c r="J22" s="74">
        <f>IFERROR(IF(I22&gt;0,H22/I22,"-"),"-")</f>
        <v/>
      </c>
      <c r="K22" s="75" t="n">
        <v>2</v>
      </c>
      <c r="L22" s="74" t="n">
        <v>10</v>
      </c>
      <c r="M22" s="74">
        <f>IFERROR(IF(L22&gt;0,K22/L22,"-"),"-")</f>
        <v/>
      </c>
      <c r="N22" s="75" t="n">
        <v>2</v>
      </c>
      <c r="O22" s="74" t="n">
        <v>3</v>
      </c>
      <c r="P22" s="74">
        <f>IFERROR(IF(O22&gt;0,N22/O22,"-"),"-")</f>
        <v/>
      </c>
      <c r="Q22" s="75" t="n">
        <v>2</v>
      </c>
      <c r="R22" s="74" t="n">
        <v>11</v>
      </c>
      <c r="S22" s="74">
        <f>IFERROR(IF(R22&gt;0,Q22/R22,"-"),"-")</f>
        <v/>
      </c>
      <c r="T22" s="75" t="n">
        <v>1</v>
      </c>
      <c r="U22" s="74" t="n">
        <v>1</v>
      </c>
      <c r="V22" s="74">
        <f>IFERROR(IF(U22&gt;0,T22/U22,"-"),"-")</f>
        <v/>
      </c>
      <c r="W22" s="75" t="n">
        <v>3</v>
      </c>
      <c r="X22" s="74" t="n">
        <v>10</v>
      </c>
      <c r="Y22" s="74">
        <f>IFERROR(IF(X22&gt;0,W22/X22,"-"),"-")</f>
        <v/>
      </c>
      <c r="Z22" s="75" t="n">
        <v>3</v>
      </c>
      <c r="AA22" s="74" t="n">
        <v>13</v>
      </c>
      <c r="AB22" s="74">
        <f>IFERROR(IF(AA22&gt;0,Z22/AA22,"-"),"-")</f>
        <v/>
      </c>
      <c r="AC22" s="75" t="n">
        <v>1</v>
      </c>
      <c r="AD22" s="74" t="n">
        <v>5</v>
      </c>
      <c r="AE22" s="74">
        <f>IFERROR(IF(AD22&gt;0,AC22/AD22,"-"),"-")</f>
        <v/>
      </c>
      <c r="AF22" s="75" t="n"/>
      <c r="AG22" s="74" t="n"/>
      <c r="AH22" s="74">
        <f>IFERROR(IF(AG22&gt;0,AF22/AG22,"-"),"-")</f>
        <v/>
      </c>
      <c r="AI22" s="75" t="n">
        <v>1</v>
      </c>
      <c r="AJ22" s="74" t="n">
        <v>14</v>
      </c>
      <c r="AK22" s="74">
        <f>IFERROR(IF(AJ22&gt;0,AI22/AJ22,"-"),"-")</f>
        <v/>
      </c>
      <c r="AL22" s="75" t="n">
        <v>1</v>
      </c>
      <c r="AM22" s="74" t="n">
        <v>3</v>
      </c>
      <c r="AN22" s="74">
        <f>IFERROR(IF(AM22&gt;0,AL22/AM22,"-"),"-")</f>
        <v/>
      </c>
      <c r="AO22" s="75" t="n">
        <v>3</v>
      </c>
      <c r="AP22" s="74" t="n">
        <v>13</v>
      </c>
      <c r="AQ22" s="74">
        <f>IFERROR(IF(AP22&gt;0,AO22/AP22,"-"),"-")</f>
        <v/>
      </c>
      <c r="AR22" s="75" t="n">
        <v>1</v>
      </c>
      <c r="AS22" s="60" t="n"/>
      <c r="AT22" s="60" t="n"/>
    </row>
    <row r="23" ht="15" customHeight="1">
      <c r="A23" s="70" t="n">
        <v>16</v>
      </c>
      <c r="B23" s="71" t="inlineStr">
        <is>
          <t>Bel Collections</t>
        </is>
      </c>
      <c r="C23" s="70" t="inlineStr">
        <is>
          <t>B00010</t>
        </is>
      </c>
      <c r="D23" s="71" t="inlineStr">
        <is>
          <t>Sakura</t>
        </is>
      </c>
      <c r="E23" s="70" t="n">
        <v>2</v>
      </c>
      <c r="F23" s="72">
        <f>SUM(I23:AP23)</f>
        <v/>
      </c>
      <c r="G23" s="72">
        <f>SUM(J23:AQ23)</f>
        <v/>
      </c>
      <c r="H23" s="73">
        <f>IFERROR(IF(G23&gt;0,F23/G23,"-"),"-")</f>
        <v/>
      </c>
      <c r="I23" s="74" t="n">
        <v>9</v>
      </c>
      <c r="J23" s="74">
        <f>IFERROR(IF(I23&gt;0,H23/I23,"-"),"-")</f>
        <v/>
      </c>
      <c r="K23" s="75" t="n">
        <v>4</v>
      </c>
      <c r="L23" s="74" t="n"/>
      <c r="M23" s="74">
        <f>IFERROR(IF(L23&gt;0,K23/L23,"-"),"-")</f>
        <v/>
      </c>
      <c r="N23" s="75" t="n">
        <v>1</v>
      </c>
      <c r="O23" s="74" t="n">
        <v>2</v>
      </c>
      <c r="P23" s="74">
        <f>IFERROR(IF(O23&gt;0,N23/O23,"-"),"-")</f>
        <v/>
      </c>
      <c r="Q23" s="75" t="n">
        <v>3</v>
      </c>
      <c r="R23" s="74" t="n">
        <v>11</v>
      </c>
      <c r="S23" s="74">
        <f>IFERROR(IF(R23&gt;0,Q23/R23,"-"),"-")</f>
        <v/>
      </c>
      <c r="T23" s="75" t="n"/>
      <c r="U23" s="74" t="n">
        <v>11</v>
      </c>
      <c r="V23" s="74">
        <f>IFERROR(IF(U23&gt;0,T23/U23,"-"),"-")</f>
        <v/>
      </c>
      <c r="W23" s="75" t="n">
        <v>2</v>
      </c>
      <c r="X23" s="74" t="n">
        <v>4</v>
      </c>
      <c r="Y23" s="74">
        <f>IFERROR(IF(X23&gt;0,W23/X23,"-"),"-")</f>
        <v/>
      </c>
      <c r="Z23" s="75" t="n">
        <v>5</v>
      </c>
      <c r="AA23" s="74" t="n">
        <v>18</v>
      </c>
      <c r="AB23" s="74">
        <f>IFERROR(IF(AA23&gt;0,Z23/AA23,"-"),"-")</f>
        <v/>
      </c>
      <c r="AC23" s="75" t="n">
        <v>2</v>
      </c>
      <c r="AD23" s="74" t="n">
        <v>15</v>
      </c>
      <c r="AE23" s="74">
        <f>IFERROR(IF(AD23&gt;0,AC23/AD23,"-"),"-")</f>
        <v/>
      </c>
      <c r="AF23" s="75" t="n"/>
      <c r="AG23" s="74" t="n"/>
      <c r="AH23" s="74">
        <f>IFERROR(IF(AG23&gt;0,AF23/AG23,"-"),"-")</f>
        <v/>
      </c>
      <c r="AI23" s="75" t="n">
        <v>2</v>
      </c>
      <c r="AJ23" s="74" t="n">
        <v>11</v>
      </c>
      <c r="AK23" s="74">
        <f>IFERROR(IF(AJ23&gt;0,AI23/AJ23,"-"),"-")</f>
        <v/>
      </c>
      <c r="AL23" s="75" t="n">
        <v>2</v>
      </c>
      <c r="AM23" s="74" t="n">
        <v>5</v>
      </c>
      <c r="AN23" s="74">
        <f>IFERROR(IF(AM23&gt;0,AL23/AM23,"-"),"-")</f>
        <v/>
      </c>
      <c r="AO23" s="75" t="n">
        <v>3</v>
      </c>
      <c r="AP23" s="74" t="n">
        <v>9</v>
      </c>
      <c r="AQ23" s="74">
        <f>IFERROR(IF(AP23&gt;0,AO23/AP23,"-"),"-")</f>
        <v/>
      </c>
      <c r="AR23" s="75" t="n">
        <v>2</v>
      </c>
      <c r="AS23" s="60" t="n"/>
      <c r="AT23" s="60" t="n"/>
    </row>
    <row r="24" ht="15" customHeight="1">
      <c r="A24" s="70" t="n">
        <v>17</v>
      </c>
      <c r="B24" s="71" t="inlineStr">
        <is>
          <t>Bel Collections</t>
        </is>
      </c>
      <c r="C24" s="70" t="inlineStr">
        <is>
          <t>B00012</t>
        </is>
      </c>
      <c r="D24" s="71" t="inlineStr">
        <is>
          <t>Ambergris</t>
        </is>
      </c>
      <c r="E24" s="70" t="n">
        <v>3</v>
      </c>
      <c r="F24" s="72">
        <f>SUM(I24:AP24)</f>
        <v/>
      </c>
      <c r="G24" s="72">
        <f>SUM(J24:AQ24)</f>
        <v/>
      </c>
      <c r="H24" s="73">
        <f>IFERROR(IF(G24&gt;0,F24/G24,"-"),"-")</f>
        <v/>
      </c>
      <c r="I24" s="74" t="n">
        <v>8</v>
      </c>
      <c r="J24" s="74">
        <f>IFERROR(IF(I24&gt;0,H24/I24,"-"),"-")</f>
        <v/>
      </c>
      <c r="K24" s="75" t="n">
        <v>4</v>
      </c>
      <c r="L24" s="74" t="n">
        <v>16</v>
      </c>
      <c r="M24" s="74">
        <f>IFERROR(IF(L24&gt;0,K24/L24,"-"),"-")</f>
        <v/>
      </c>
      <c r="N24" s="75" t="n">
        <v>1</v>
      </c>
      <c r="O24" s="74" t="n">
        <v>5</v>
      </c>
      <c r="P24" s="74">
        <f>IFERROR(IF(O24&gt;0,N24/O24,"-"),"-")</f>
        <v/>
      </c>
      <c r="Q24" s="75" t="n">
        <v>2</v>
      </c>
      <c r="R24" s="74" t="n">
        <v>2</v>
      </c>
      <c r="S24" s="74">
        <f>IFERROR(IF(R24&gt;0,Q24/R24,"-"),"-")</f>
        <v/>
      </c>
      <c r="T24" s="75" t="n">
        <v>3</v>
      </c>
      <c r="U24" s="74" t="n">
        <v>14</v>
      </c>
      <c r="V24" s="74">
        <f>IFERROR(IF(U24&gt;0,T24/U24,"-"),"-")</f>
        <v/>
      </c>
      <c r="W24" s="75" t="n">
        <v>7</v>
      </c>
      <c r="X24" s="74" t="n">
        <v>11</v>
      </c>
      <c r="Y24" s="74">
        <f>IFERROR(IF(X24&gt;0,W24/X24,"-"),"-")</f>
        <v/>
      </c>
      <c r="Z24" s="75" t="n">
        <v>8</v>
      </c>
      <c r="AA24" s="74" t="n">
        <v>29</v>
      </c>
      <c r="AB24" s="74">
        <f>IFERROR(IF(AA24&gt;0,Z24/AA24,"-"),"-")</f>
        <v/>
      </c>
      <c r="AC24" s="75" t="n">
        <v>6</v>
      </c>
      <c r="AD24" s="74" t="n">
        <v>16</v>
      </c>
      <c r="AE24" s="74">
        <f>IFERROR(IF(AD24&gt;0,AC24/AD24,"-"),"-")</f>
        <v/>
      </c>
      <c r="AF24" s="75" t="n">
        <v>1</v>
      </c>
      <c r="AG24" s="74" t="n"/>
      <c r="AH24" s="74">
        <f>IFERROR(IF(AG24&gt;0,AF24/AG24,"-"),"-")</f>
        <v/>
      </c>
      <c r="AI24" s="75" t="n">
        <v>4</v>
      </c>
      <c r="AJ24" s="74" t="n">
        <v>14</v>
      </c>
      <c r="AK24" s="74">
        <f>IFERROR(IF(AJ24&gt;0,AI24/AJ24,"-"),"-")</f>
        <v/>
      </c>
      <c r="AL24" s="75" t="n">
        <v>2</v>
      </c>
      <c r="AM24" s="74" t="n">
        <v>9</v>
      </c>
      <c r="AN24" s="74">
        <f>IFERROR(IF(AM24&gt;0,AL24/AM24,"-"),"-")</f>
        <v/>
      </c>
      <c r="AO24" s="75" t="n">
        <v>3</v>
      </c>
      <c r="AP24" s="74" t="n">
        <v>9</v>
      </c>
      <c r="AQ24" s="74">
        <f>IFERROR(IF(AP24&gt;0,AO24/AP24,"-"),"-")</f>
        <v/>
      </c>
      <c r="AR24" s="75" t="n">
        <v>3</v>
      </c>
      <c r="AS24" s="60" t="n"/>
      <c r="AT24" s="60" t="n"/>
    </row>
    <row r="25" ht="15" customHeight="1">
      <c r="A25" s="70" t="n">
        <v>18</v>
      </c>
      <c r="B25" s="71" t="inlineStr">
        <is>
          <t>Bel Collections</t>
        </is>
      </c>
      <c r="C25" s="70" t="inlineStr">
        <is>
          <t>B00014</t>
        </is>
      </c>
      <c r="D25" s="71" t="inlineStr">
        <is>
          <t>Firewood</t>
        </is>
      </c>
      <c r="E25" s="70" t="n">
        <v>3</v>
      </c>
      <c r="F25" s="72">
        <f>SUM(I25:AP25)</f>
        <v/>
      </c>
      <c r="G25" s="72">
        <f>SUM(J25:AQ25)</f>
        <v/>
      </c>
      <c r="H25" s="73">
        <f>IFERROR(IF(G25&gt;0,F25/G25,"-"),"-")</f>
        <v/>
      </c>
      <c r="I25" s="74" t="n"/>
      <c r="J25" s="74">
        <f>IFERROR(IF(I25&gt;0,H25/I25,"-"),"-")</f>
        <v/>
      </c>
      <c r="K25" s="75" t="n">
        <v>2</v>
      </c>
      <c r="L25" s="74" t="n">
        <v>17</v>
      </c>
      <c r="M25" s="74">
        <f>IFERROR(IF(L25&gt;0,K25/L25,"-"),"-")</f>
        <v/>
      </c>
      <c r="N25" s="75" t="n">
        <v>4</v>
      </c>
      <c r="O25" s="74" t="n">
        <v>10</v>
      </c>
      <c r="P25" s="74">
        <f>IFERROR(IF(O25&gt;0,N25/O25,"-"),"-")</f>
        <v/>
      </c>
      <c r="Q25" s="75" t="n">
        <v>3</v>
      </c>
      <c r="R25" s="74" t="n"/>
      <c r="S25" s="74">
        <f>IFERROR(IF(R25&gt;0,Q25/R25,"-"),"-")</f>
        <v/>
      </c>
      <c r="T25" s="75" t="n">
        <v>4</v>
      </c>
      <c r="U25" s="74" t="n">
        <v>5</v>
      </c>
      <c r="V25" s="74">
        <f>IFERROR(IF(U25&gt;0,T25/U25,"-"),"-")</f>
        <v/>
      </c>
      <c r="W25" s="75" t="n">
        <v>2</v>
      </c>
      <c r="X25" s="74" t="n">
        <v>5</v>
      </c>
      <c r="Y25" s="74">
        <f>IFERROR(IF(X25&gt;0,W25/X25,"-"),"-")</f>
        <v/>
      </c>
      <c r="Z25" s="75" t="n">
        <v>6</v>
      </c>
      <c r="AA25" s="74" t="n">
        <v>14</v>
      </c>
      <c r="AB25" s="74">
        <f>IFERROR(IF(AA25&gt;0,Z25/AA25,"-"),"-")</f>
        <v/>
      </c>
      <c r="AC25" s="75" t="n">
        <v>5</v>
      </c>
      <c r="AD25" s="74" t="n"/>
      <c r="AE25" s="74">
        <f>IFERROR(IF(AD25&gt;0,AC25/AD25,"-"),"-")</f>
        <v/>
      </c>
      <c r="AF25" s="75" t="n">
        <v>1</v>
      </c>
      <c r="AG25" s="74" t="n"/>
      <c r="AH25" s="74">
        <f>IFERROR(IF(AG25&gt;0,AF25/AG25,"-"),"-")</f>
        <v/>
      </c>
      <c r="AI25" s="75" t="n">
        <v>4</v>
      </c>
      <c r="AJ25" s="74" t="n">
        <v>8</v>
      </c>
      <c r="AK25" s="74">
        <f>IFERROR(IF(AJ25&gt;0,AI25/AJ25,"-"),"-")</f>
        <v/>
      </c>
      <c r="AL25" s="75" t="n">
        <v>2</v>
      </c>
      <c r="AM25" s="74" t="n"/>
      <c r="AN25" s="74">
        <f>IFERROR(IF(AM25&gt;0,AL25/AM25,"-"),"-")</f>
        <v/>
      </c>
      <c r="AO25" s="75" t="n">
        <v>3</v>
      </c>
      <c r="AP25" s="74" t="n">
        <v>15</v>
      </c>
      <c r="AQ25" s="74">
        <f>IFERROR(IF(AP25&gt;0,AO25/AP25,"-"),"-")</f>
        <v/>
      </c>
      <c r="AR25" s="75" t="n">
        <v>5</v>
      </c>
      <c r="AS25" s="60" t="n"/>
      <c r="AT25" s="60" t="n"/>
    </row>
    <row r="26" ht="15" customHeight="1">
      <c r="A26" s="70" t="n">
        <v>19</v>
      </c>
      <c r="B26" s="71" t="inlineStr">
        <is>
          <t>Bel Collections</t>
        </is>
      </c>
      <c r="C26" s="70" t="inlineStr">
        <is>
          <t>B00015</t>
        </is>
      </c>
      <c r="D26" s="71" t="inlineStr">
        <is>
          <t>Hidden Leather</t>
        </is>
      </c>
      <c r="E26" s="70" t="n">
        <v>4</v>
      </c>
      <c r="F26" s="72">
        <f>SUM(I26:AP26)</f>
        <v/>
      </c>
      <c r="G26" s="72">
        <f>SUM(J26:AQ26)</f>
        <v/>
      </c>
      <c r="H26" s="73">
        <f>IFERROR(IF(G26&gt;0,F26/G26,"-"),"-")</f>
        <v/>
      </c>
      <c r="I26" s="74" t="n"/>
      <c r="J26" s="74">
        <f>IFERROR(IF(I26&gt;0,H26/I26,"-"),"-")</f>
        <v/>
      </c>
      <c r="K26" s="75" t="n">
        <v>5</v>
      </c>
      <c r="L26" s="74" t="n">
        <v>27</v>
      </c>
      <c r="M26" s="74">
        <f>IFERROR(IF(L26&gt;0,K26/L26,"-"),"-")</f>
        <v/>
      </c>
      <c r="N26" s="75" t="n">
        <v>2</v>
      </c>
      <c r="O26" s="74" t="n">
        <v>28</v>
      </c>
      <c r="P26" s="74">
        <f>IFERROR(IF(O26&gt;0,N26/O26,"-"),"-")</f>
        <v/>
      </c>
      <c r="Q26" s="75" t="n">
        <v>4</v>
      </c>
      <c r="R26" s="74" t="n"/>
      <c r="S26" s="74">
        <f>IFERROR(IF(R26&gt;0,Q26/R26,"-"),"-")</f>
        <v/>
      </c>
      <c r="T26" s="75" t="n">
        <v>2</v>
      </c>
      <c r="U26" s="74" t="n">
        <v>21</v>
      </c>
      <c r="V26" s="74">
        <f>IFERROR(IF(U26&gt;0,T26/U26,"-"),"-")</f>
        <v/>
      </c>
      <c r="W26" s="75" t="n">
        <v>7</v>
      </c>
      <c r="X26" s="74" t="n">
        <v>20</v>
      </c>
      <c r="Y26" s="74">
        <f>IFERROR(IF(X26&gt;0,W26/X26,"-"),"-")</f>
        <v/>
      </c>
      <c r="Z26" s="75" t="n">
        <v>7</v>
      </c>
      <c r="AA26" s="74" t="n">
        <v>39</v>
      </c>
      <c r="AB26" s="74">
        <f>IFERROR(IF(AA26&gt;0,Z26/AA26,"-"),"-")</f>
        <v/>
      </c>
      <c r="AC26" s="75" t="n">
        <v>6</v>
      </c>
      <c r="AD26" s="74" t="n"/>
      <c r="AE26" s="74">
        <f>IFERROR(IF(AD26&gt;0,AC26/AD26,"-"),"-")</f>
        <v/>
      </c>
      <c r="AF26" s="75" t="n">
        <v>1</v>
      </c>
      <c r="AG26" s="74" t="n"/>
      <c r="AH26" s="74">
        <f>IFERROR(IF(AG26&gt;0,AF26/AG26,"-"),"-")</f>
        <v/>
      </c>
      <c r="AI26" s="75" t="n">
        <v>2</v>
      </c>
      <c r="AJ26" s="74" t="n">
        <v>66</v>
      </c>
      <c r="AK26" s="74">
        <f>IFERROR(IF(AJ26&gt;0,AI26/AJ26,"-"),"-")</f>
        <v/>
      </c>
      <c r="AL26" s="75" t="n">
        <v>2</v>
      </c>
      <c r="AM26" s="74" t="n"/>
      <c r="AN26" s="74">
        <f>IFERROR(IF(AM26&gt;0,AL26/AM26,"-"),"-")</f>
        <v/>
      </c>
      <c r="AO26" s="75" t="n">
        <v>2</v>
      </c>
      <c r="AP26" s="74" t="n">
        <v>50</v>
      </c>
      <c r="AQ26" s="74">
        <f>IFERROR(IF(AP26&gt;0,AO26/AP26,"-"),"-")</f>
        <v/>
      </c>
      <c r="AR26" s="75" t="n">
        <v>4</v>
      </c>
      <c r="AS26" s="60" t="n"/>
      <c r="AT26" s="60" t="n"/>
    </row>
    <row r="27" ht="15" customHeight="1">
      <c r="A27" s="70" t="n">
        <v>20</v>
      </c>
      <c r="B27" s="71" t="inlineStr">
        <is>
          <t>Bel Collections</t>
        </is>
      </c>
      <c r="C27" s="70" t="inlineStr">
        <is>
          <t>B00016</t>
        </is>
      </c>
      <c r="D27" s="71" t="inlineStr">
        <is>
          <t>Mysterious Rose</t>
        </is>
      </c>
      <c r="E27" s="70" t="n">
        <v>1</v>
      </c>
      <c r="F27" s="72">
        <f>SUM(I27:AP27)</f>
        <v/>
      </c>
      <c r="G27" s="72">
        <f>SUM(J27:AQ27)</f>
        <v/>
      </c>
      <c r="H27" s="73">
        <f>IFERROR(IF(G27&gt;0,F27/G27,"-"),"-")</f>
        <v/>
      </c>
      <c r="I27" s="74" t="n"/>
      <c r="J27" s="74">
        <f>IFERROR(IF(I27&gt;0,H27/I27,"-"),"-")</f>
        <v/>
      </c>
      <c r="K27" s="75" t="n"/>
      <c r="L27" s="74" t="n"/>
      <c r="M27" s="74">
        <f>IFERROR(IF(L27&gt;0,K27/L27,"-"),"-")</f>
        <v/>
      </c>
      <c r="N27" s="75" t="n"/>
      <c r="O27" s="74" t="n"/>
      <c r="P27" s="74">
        <f>IFERROR(IF(O27&gt;0,N27/O27,"-"),"-")</f>
        <v/>
      </c>
      <c r="Q27" s="75" t="n"/>
      <c r="R27" s="74" t="n"/>
      <c r="S27" s="74">
        <f>IFERROR(IF(R27&gt;0,Q27/R27,"-"),"-")</f>
        <v/>
      </c>
      <c r="T27" s="75" t="n"/>
      <c r="U27" s="74" t="n"/>
      <c r="V27" s="74">
        <f>IFERROR(IF(U27&gt;0,T27/U27,"-"),"-")</f>
        <v/>
      </c>
      <c r="W27" s="75" t="n"/>
      <c r="X27" s="74" t="n"/>
      <c r="Y27" s="74">
        <f>IFERROR(IF(X27&gt;0,W27/X27,"-"),"-")</f>
        <v/>
      </c>
      <c r="Z27" s="75" t="n"/>
      <c r="AA27" s="74" t="n"/>
      <c r="AB27" s="74">
        <f>IFERROR(IF(AA27&gt;0,Z27/AA27,"-"),"-")</f>
        <v/>
      </c>
      <c r="AC27" s="75" t="n"/>
      <c r="AD27" s="74" t="n"/>
      <c r="AE27" s="74">
        <f>IFERROR(IF(AD27&gt;0,AC27/AD27,"-"),"-")</f>
        <v/>
      </c>
      <c r="AF27" s="75" t="n"/>
      <c r="AG27" s="74" t="n"/>
      <c r="AH27" s="74">
        <f>IFERROR(IF(AG27&gt;0,AF27/AG27,"-"),"-")</f>
        <v/>
      </c>
      <c r="AI27" s="75" t="n"/>
      <c r="AJ27" s="74" t="n"/>
      <c r="AK27" s="74">
        <f>IFERROR(IF(AJ27&gt;0,AI27/AJ27,"-"),"-")</f>
        <v/>
      </c>
      <c r="AL27" s="75" t="n"/>
      <c r="AM27" s="74" t="n"/>
      <c r="AN27" s="74">
        <f>IFERROR(IF(AM27&gt;0,AL27/AM27,"-"),"-")</f>
        <v/>
      </c>
      <c r="AO27" s="75" t="n"/>
      <c r="AP27" s="74" t="n"/>
      <c r="AQ27" s="74">
        <f>IFERROR(IF(AP27&gt;0,AO27/AP27,"-"),"-")</f>
        <v/>
      </c>
      <c r="AR27" s="75" t="n"/>
      <c r="AS27" s="60" t="n"/>
      <c r="AT27" s="60" t="n"/>
    </row>
    <row r="28" ht="15" customHeight="1">
      <c r="A28" s="70" t="n">
        <v>21</v>
      </c>
      <c r="B28" s="71" t="inlineStr">
        <is>
          <t>Bel Collections</t>
        </is>
      </c>
      <c r="C28" s="70" t="inlineStr">
        <is>
          <t>B00017</t>
        </is>
      </c>
      <c r="D28" s="71" t="inlineStr">
        <is>
          <t>Thekrayat</t>
        </is>
      </c>
      <c r="E28" s="70" t="n">
        <v>3</v>
      </c>
      <c r="F28" s="72">
        <f>SUM(I28:AP28)</f>
        <v/>
      </c>
      <c r="G28" s="72">
        <f>SUM(J28:AQ28)</f>
        <v/>
      </c>
      <c r="H28" s="73">
        <f>IFERROR(IF(G28&gt;0,F28/G28,"-"),"-")</f>
        <v/>
      </c>
      <c r="I28" s="74" t="n">
        <v>7</v>
      </c>
      <c r="J28" s="74">
        <f>IFERROR(IF(I28&gt;0,H28/I28,"-"),"-")</f>
        <v/>
      </c>
      <c r="K28" s="75" t="n">
        <v>1</v>
      </c>
      <c r="L28" s="74" t="n">
        <v>16</v>
      </c>
      <c r="M28" s="74">
        <f>IFERROR(IF(L28&gt;0,K28/L28,"-"),"-")</f>
        <v/>
      </c>
      <c r="N28" s="75" t="n">
        <v>2</v>
      </c>
      <c r="O28" s="74" t="n">
        <v>5</v>
      </c>
      <c r="P28" s="74">
        <f>IFERROR(IF(O28&gt;0,N28/O28,"-"),"-")</f>
        <v/>
      </c>
      <c r="Q28" s="75" t="n">
        <v>1</v>
      </c>
      <c r="R28" s="74" t="n">
        <v>7</v>
      </c>
      <c r="S28" s="74">
        <f>IFERROR(IF(R28&gt;0,Q28/R28,"-"),"-")</f>
        <v/>
      </c>
      <c r="T28" s="75" t="n">
        <v>1</v>
      </c>
      <c r="U28" s="74" t="n">
        <v>2</v>
      </c>
      <c r="V28" s="74">
        <f>IFERROR(IF(U28&gt;0,T28/U28,"-"),"-")</f>
        <v/>
      </c>
      <c r="W28" s="75" t="n">
        <v>1</v>
      </c>
      <c r="X28" s="74" t="n">
        <v>3</v>
      </c>
      <c r="Y28" s="74">
        <f>IFERROR(IF(X28&gt;0,W28/X28,"-"),"-")</f>
        <v/>
      </c>
      <c r="Z28" s="75" t="n">
        <v>3</v>
      </c>
      <c r="AA28" s="74" t="n">
        <v>13</v>
      </c>
      <c r="AB28" s="74">
        <f>IFERROR(IF(AA28&gt;0,Z28/AA28,"-"),"-")</f>
        <v/>
      </c>
      <c r="AC28" s="75" t="n">
        <v>2</v>
      </c>
      <c r="AD28" s="74" t="n">
        <v>11</v>
      </c>
      <c r="AE28" s="74">
        <f>IFERROR(IF(AD28&gt;0,AC28/AD28,"-"),"-")</f>
        <v/>
      </c>
      <c r="AF28" s="75" t="n">
        <v>1</v>
      </c>
      <c r="AG28" s="74" t="n"/>
      <c r="AH28" s="74">
        <f>IFERROR(IF(AG28&gt;0,AF28/AG28,"-"),"-")</f>
        <v/>
      </c>
      <c r="AI28" s="75" t="n">
        <v>1</v>
      </c>
      <c r="AJ28" s="74" t="n">
        <v>7</v>
      </c>
      <c r="AK28" s="74">
        <f>IFERROR(IF(AJ28&gt;0,AI28/AJ28,"-"),"-")</f>
        <v/>
      </c>
      <c r="AL28" s="75" t="n"/>
      <c r="AM28" s="74" t="n">
        <v>13</v>
      </c>
      <c r="AN28" s="74">
        <f>IFERROR(IF(AM28&gt;0,AL28/AM28,"-"),"-")</f>
        <v/>
      </c>
      <c r="AO28" s="75" t="n">
        <v>2</v>
      </c>
      <c r="AP28" s="74" t="n">
        <v>18</v>
      </c>
      <c r="AQ28" s="74">
        <f>IFERROR(IF(AP28&gt;0,AO28/AP28,"-"),"-")</f>
        <v/>
      </c>
      <c r="AR28" s="75" t="n">
        <v>1</v>
      </c>
      <c r="AS28" s="60" t="n"/>
      <c r="AT28" s="60" t="n"/>
    </row>
    <row r="29" ht="15" customHeight="1">
      <c r="A29" s="70" t="n">
        <v>22</v>
      </c>
      <c r="B29" s="71" t="inlineStr">
        <is>
          <t>Bel Collections</t>
        </is>
      </c>
      <c r="C29" s="70" t="inlineStr">
        <is>
          <t>B00018</t>
        </is>
      </c>
      <c r="D29" s="71" t="inlineStr">
        <is>
          <t>Hidden Tobacco</t>
        </is>
      </c>
      <c r="E29" s="70" t="n">
        <v>2</v>
      </c>
      <c r="F29" s="72">
        <f>SUM(I29:AP29)</f>
        <v/>
      </c>
      <c r="G29" s="72">
        <f>SUM(J29:AQ29)</f>
        <v/>
      </c>
      <c r="H29" s="73">
        <f>IFERROR(IF(G29&gt;0,F29/G29,"-"),"-")</f>
        <v/>
      </c>
      <c r="I29" s="74" t="n">
        <v>1</v>
      </c>
      <c r="J29" s="74">
        <f>IFERROR(IF(I29&gt;0,H29/I29,"-"),"-")</f>
        <v/>
      </c>
      <c r="K29" s="75" t="n"/>
      <c r="L29" s="74" t="n"/>
      <c r="M29" s="74">
        <f>IFERROR(IF(L29&gt;0,K29/L29,"-"),"-")</f>
        <v/>
      </c>
      <c r="N29" s="75" t="n">
        <v>1</v>
      </c>
      <c r="O29" s="74" t="n"/>
      <c r="P29" s="74">
        <f>IFERROR(IF(O29&gt;0,N29/O29,"-"),"-")</f>
        <v/>
      </c>
      <c r="Q29" s="75" t="n"/>
      <c r="R29" s="74" t="n">
        <v>6</v>
      </c>
      <c r="S29" s="74">
        <f>IFERROR(IF(R29&gt;0,Q29/R29,"-"),"-")</f>
        <v/>
      </c>
      <c r="T29" s="75" t="n"/>
      <c r="U29" s="74" t="n">
        <v>1</v>
      </c>
      <c r="V29" s="74">
        <f>IFERROR(IF(U29&gt;0,T29/U29,"-"),"-")</f>
        <v/>
      </c>
      <c r="W29" s="75" t="n">
        <v>1</v>
      </c>
      <c r="X29" s="74" t="n">
        <v>3</v>
      </c>
      <c r="Y29" s="74">
        <f>IFERROR(IF(X29&gt;0,W29/X29,"-"),"-")</f>
        <v/>
      </c>
      <c r="Z29" s="75" t="n">
        <v>1</v>
      </c>
      <c r="AA29" s="74" t="n">
        <v>6</v>
      </c>
      <c r="AB29" s="74">
        <f>IFERROR(IF(AA29&gt;0,Z29/AA29,"-"),"-")</f>
        <v/>
      </c>
      <c r="AC29" s="75" t="n">
        <v>1</v>
      </c>
      <c r="AD29" s="74" t="n">
        <v>6</v>
      </c>
      <c r="AE29" s="74">
        <f>IFERROR(IF(AD29&gt;0,AC29/AD29,"-"),"-")</f>
        <v/>
      </c>
      <c r="AF29" s="75" t="n"/>
      <c r="AG29" s="74" t="n"/>
      <c r="AH29" s="74">
        <f>IFERROR(IF(AG29&gt;0,AF29/AG29,"-"),"-")</f>
        <v/>
      </c>
      <c r="AI29" s="75" t="n">
        <v>1</v>
      </c>
      <c r="AJ29" s="74" t="n">
        <v>4</v>
      </c>
      <c r="AK29" s="74">
        <f>IFERROR(IF(AJ29&gt;0,AI29/AJ29,"-"),"-")</f>
        <v/>
      </c>
      <c r="AL29" s="75" t="n"/>
      <c r="AM29" s="74" t="n">
        <v>4</v>
      </c>
      <c r="AN29" s="74">
        <f>IFERROR(IF(AM29&gt;0,AL29/AM29,"-"),"-")</f>
        <v/>
      </c>
      <c r="AO29" s="75" t="n">
        <v>2</v>
      </c>
      <c r="AP29" s="74" t="n">
        <v>10</v>
      </c>
      <c r="AQ29" s="74">
        <f>IFERROR(IF(AP29&gt;0,AO29/AP29,"-"),"-")</f>
        <v/>
      </c>
      <c r="AR29" s="75" t="n">
        <v>2</v>
      </c>
      <c r="AS29" s="60" t="n"/>
      <c r="AT29" s="60" t="n"/>
    </row>
    <row r="30" ht="15" customHeight="1">
      <c r="A30" s="70" t="n">
        <v>23</v>
      </c>
      <c r="B30" s="71" t="inlineStr">
        <is>
          <t>Bel Collections</t>
        </is>
      </c>
      <c r="C30" s="70" t="inlineStr">
        <is>
          <t>B00019</t>
        </is>
      </c>
      <c r="D30" s="71" t="inlineStr">
        <is>
          <t>Masters Perfume 100ml</t>
        </is>
      </c>
      <c r="E30" s="70" t="n">
        <v>1</v>
      </c>
      <c r="F30" s="72">
        <f>SUM(I30:AP30)</f>
        <v/>
      </c>
      <c r="G30" s="72">
        <f>SUM(J30:AQ30)</f>
        <v/>
      </c>
      <c r="H30" s="73">
        <f>IFERROR(IF(G30&gt;0,F30/G30,"-"),"-")</f>
        <v/>
      </c>
      <c r="I30" s="74" t="n"/>
      <c r="J30" s="74">
        <f>IFERROR(IF(I30&gt;0,H30/I30,"-"),"-")</f>
        <v/>
      </c>
      <c r="K30" s="75" t="n">
        <v>1</v>
      </c>
      <c r="L30" s="74" t="n"/>
      <c r="M30" s="74">
        <f>IFERROR(IF(L30&gt;0,K30/L30,"-"),"-")</f>
        <v/>
      </c>
      <c r="N30" s="75" t="n">
        <v>1</v>
      </c>
      <c r="O30" s="74" t="n">
        <v>2</v>
      </c>
      <c r="P30" s="74">
        <f>IFERROR(IF(O30&gt;0,N30/O30,"-"),"-")</f>
        <v/>
      </c>
      <c r="Q30" s="75" t="n"/>
      <c r="R30" s="74" t="n"/>
      <c r="S30" s="74">
        <f>IFERROR(IF(R30&gt;0,Q30/R30,"-"),"-")</f>
        <v/>
      </c>
      <c r="T30" s="75" t="n"/>
      <c r="U30" s="74" t="n">
        <v>4</v>
      </c>
      <c r="V30" s="74">
        <f>IFERROR(IF(U30&gt;0,T30/U30,"-"),"-")</f>
        <v/>
      </c>
      <c r="W30" s="75" t="n">
        <v>1</v>
      </c>
      <c r="X30" s="74" t="n"/>
      <c r="Y30" s="74">
        <f>IFERROR(IF(X30&gt;0,W30/X30,"-"),"-")</f>
        <v/>
      </c>
      <c r="Z30" s="75" t="n"/>
      <c r="AA30" s="74" t="n">
        <v>1</v>
      </c>
      <c r="AB30" s="74">
        <f>IFERROR(IF(AA30&gt;0,Z30/AA30,"-"),"-")</f>
        <v/>
      </c>
      <c r="AC30" s="75" t="n"/>
      <c r="AD30" s="74" t="n"/>
      <c r="AE30" s="74">
        <f>IFERROR(IF(AD30&gt;0,AC30/AD30,"-"),"-")</f>
        <v/>
      </c>
      <c r="AF30" s="75" t="n"/>
      <c r="AG30" s="74" t="n"/>
      <c r="AH30" s="74">
        <f>IFERROR(IF(AG30&gt;0,AF30/AG30,"-"),"-")</f>
        <v/>
      </c>
      <c r="AI30" s="75" t="n"/>
      <c r="AJ30" s="74" t="n">
        <v>1</v>
      </c>
      <c r="AK30" s="74">
        <f>IFERROR(IF(AJ30&gt;0,AI30/AJ30,"-"),"-")</f>
        <v/>
      </c>
      <c r="AL30" s="75" t="n"/>
      <c r="AM30" s="74" t="n">
        <v>1</v>
      </c>
      <c r="AN30" s="74">
        <f>IFERROR(IF(AM30&gt;0,AL30/AM30,"-"),"-")</f>
        <v/>
      </c>
      <c r="AO30" s="75" t="n"/>
      <c r="AP30" s="74" t="n">
        <v>3</v>
      </c>
      <c r="AQ30" s="74">
        <f>IFERROR(IF(AP30&gt;0,AO30/AP30,"-"),"-")</f>
        <v/>
      </c>
      <c r="AR30" s="75" t="n">
        <v>1</v>
      </c>
      <c r="AS30" s="60" t="n"/>
      <c r="AT30" s="60" t="n"/>
    </row>
    <row r="31" ht="15" customHeight="1">
      <c r="A31" s="70" t="n">
        <v>24</v>
      </c>
      <c r="B31" s="71" t="inlineStr">
        <is>
          <t>Bel Collections</t>
        </is>
      </c>
      <c r="C31" s="70" t="inlineStr">
        <is>
          <t>B00020</t>
        </is>
      </c>
      <c r="D31" s="71" t="inlineStr">
        <is>
          <t>Masters Signature 100ml Perfume - Tester</t>
        </is>
      </c>
      <c r="E31" s="70" t="n">
        <v>2</v>
      </c>
      <c r="F31" s="72">
        <f>SUM(I31:AP31)</f>
        <v/>
      </c>
      <c r="G31" s="72">
        <f>SUM(J31:AQ31)</f>
        <v/>
      </c>
      <c r="H31" s="73">
        <f>IFERROR(IF(G31&gt;0,F31/G31,"-"),"-")</f>
        <v/>
      </c>
      <c r="I31" s="74" t="n"/>
      <c r="J31" s="74">
        <f>IFERROR(IF(I31&gt;0,H31/I31,"-"),"-")</f>
        <v/>
      </c>
      <c r="K31" s="75" t="n">
        <v>3</v>
      </c>
      <c r="L31" s="74" t="n"/>
      <c r="M31" s="74">
        <f>IFERROR(IF(L31&gt;0,K31/L31,"-"),"-")</f>
        <v/>
      </c>
      <c r="N31" s="75" t="n">
        <v>2</v>
      </c>
      <c r="O31" s="74" t="n"/>
      <c r="P31" s="74">
        <f>IFERROR(IF(O31&gt;0,N31/O31,"-"),"-")</f>
        <v/>
      </c>
      <c r="Q31" s="75" t="n"/>
      <c r="R31" s="74" t="n"/>
      <c r="S31" s="74">
        <f>IFERROR(IF(R31&gt;0,Q31/R31,"-"),"-")</f>
        <v/>
      </c>
      <c r="T31" s="75" t="n"/>
      <c r="U31" s="74" t="n"/>
      <c r="V31" s="74">
        <f>IFERROR(IF(U31&gt;0,T31/U31,"-"),"-")</f>
        <v/>
      </c>
      <c r="W31" s="75" t="n">
        <v>1</v>
      </c>
      <c r="X31" s="74" t="n"/>
      <c r="Y31" s="74">
        <f>IFERROR(IF(X31&gt;0,W31/X31,"-"),"-")</f>
        <v/>
      </c>
      <c r="Z31" s="75" t="n"/>
      <c r="AA31" s="74" t="n"/>
      <c r="AB31" s="74">
        <f>IFERROR(IF(AA31&gt;0,Z31/AA31,"-"),"-")</f>
        <v/>
      </c>
      <c r="AC31" s="75" t="n">
        <v>1</v>
      </c>
      <c r="AD31" s="74" t="n"/>
      <c r="AE31" s="74">
        <f>IFERROR(IF(AD31&gt;0,AC31/AD31,"-"),"-")</f>
        <v/>
      </c>
      <c r="AF31" s="75" t="n"/>
      <c r="AG31" s="74" t="n"/>
      <c r="AH31" s="74">
        <f>IFERROR(IF(AG31&gt;0,AF31/AG31,"-"),"-")</f>
        <v/>
      </c>
      <c r="AI31" s="75" t="n">
        <v>1</v>
      </c>
      <c r="AJ31" s="74" t="n"/>
      <c r="AK31" s="74">
        <f>IFERROR(IF(AJ31&gt;0,AI31/AJ31,"-"),"-")</f>
        <v/>
      </c>
      <c r="AL31" s="75" t="n">
        <v>1</v>
      </c>
      <c r="AM31" s="74" t="n"/>
      <c r="AN31" s="74">
        <f>IFERROR(IF(AM31&gt;0,AL31/AM31,"-"),"-")</f>
        <v/>
      </c>
      <c r="AO31" s="75" t="n">
        <v>2</v>
      </c>
      <c r="AP31" s="74" t="n"/>
      <c r="AQ31" s="74">
        <f>IFERROR(IF(AP31&gt;0,AO31/AP31,"-"),"-")</f>
        <v/>
      </c>
      <c r="AR31" s="75" t="n"/>
      <c r="AS31" s="60" t="n"/>
      <c r="AT31" s="60" t="n"/>
    </row>
    <row r="32" ht="15" customHeight="1">
      <c r="A32" s="70" t="n">
        <v>25</v>
      </c>
      <c r="B32" s="71" t="inlineStr">
        <is>
          <t>Bel Collections</t>
        </is>
      </c>
      <c r="C32" s="70" t="inlineStr">
        <is>
          <t>B00021</t>
        </is>
      </c>
      <c r="D32" s="71" t="inlineStr">
        <is>
          <t>Midnight Bloom 100 ML</t>
        </is>
      </c>
      <c r="E32" s="70" t="n">
        <v>5</v>
      </c>
      <c r="F32" s="72">
        <f>SUM(I32:AP32)</f>
        <v/>
      </c>
      <c r="G32" s="72">
        <f>SUM(J32:AQ32)</f>
        <v/>
      </c>
      <c r="H32" s="73">
        <f>IFERROR(IF(G32&gt;0,F32/G32,"-"),"-")</f>
        <v/>
      </c>
      <c r="I32" s="74" t="n">
        <v>3</v>
      </c>
      <c r="J32" s="74">
        <f>IFERROR(IF(I32&gt;0,H32/I32,"-"),"-")</f>
        <v/>
      </c>
      <c r="K32" s="75" t="n">
        <v>3</v>
      </c>
      <c r="L32" s="74" t="n">
        <v>4</v>
      </c>
      <c r="M32" s="74">
        <f>IFERROR(IF(L32&gt;0,K32/L32,"-"),"-")</f>
        <v/>
      </c>
      <c r="N32" s="75" t="n">
        <v>1</v>
      </c>
      <c r="O32" s="74" t="n">
        <v>1</v>
      </c>
      <c r="P32" s="74">
        <f>IFERROR(IF(O32&gt;0,N32/O32,"-"),"-")</f>
        <v/>
      </c>
      <c r="Q32" s="75" t="n">
        <v>3</v>
      </c>
      <c r="R32" s="74" t="n">
        <v>10</v>
      </c>
      <c r="S32" s="74">
        <f>IFERROR(IF(R32&gt;0,Q32/R32,"-"),"-")</f>
        <v/>
      </c>
      <c r="T32" s="75" t="n"/>
      <c r="U32" s="74" t="n">
        <v>2</v>
      </c>
      <c r="V32" s="74">
        <f>IFERROR(IF(U32&gt;0,T32/U32,"-"),"-")</f>
        <v/>
      </c>
      <c r="W32" s="75" t="n">
        <v>2</v>
      </c>
      <c r="X32" s="74" t="n">
        <v>2</v>
      </c>
      <c r="Y32" s="74">
        <f>IFERROR(IF(X32&gt;0,W32/X32,"-"),"-")</f>
        <v/>
      </c>
      <c r="Z32" s="75" t="n">
        <v>1</v>
      </c>
      <c r="AA32" s="74" t="n">
        <v>8</v>
      </c>
      <c r="AB32" s="74">
        <f>IFERROR(IF(AA32&gt;0,Z32/AA32,"-"),"-")</f>
        <v/>
      </c>
      <c r="AC32" s="75" t="n">
        <v>2</v>
      </c>
      <c r="AD32" s="74" t="n">
        <v>3</v>
      </c>
      <c r="AE32" s="74">
        <f>IFERROR(IF(AD32&gt;0,AC32/AD32,"-"),"-")</f>
        <v/>
      </c>
      <c r="AF32" s="75" t="n">
        <v>1</v>
      </c>
      <c r="AG32" s="74" t="n"/>
      <c r="AH32" s="74">
        <f>IFERROR(IF(AG32&gt;0,AF32/AG32,"-"),"-")</f>
        <v/>
      </c>
      <c r="AI32" s="75" t="n">
        <v>1</v>
      </c>
      <c r="AJ32" s="74" t="n">
        <v>6</v>
      </c>
      <c r="AK32" s="74">
        <f>IFERROR(IF(AJ32&gt;0,AI32/AJ32,"-"),"-")</f>
        <v/>
      </c>
      <c r="AL32" s="75" t="n">
        <v>2</v>
      </c>
      <c r="AM32" s="74" t="n">
        <v>5</v>
      </c>
      <c r="AN32" s="74">
        <f>IFERROR(IF(AM32&gt;0,AL32/AM32,"-"),"-")</f>
        <v/>
      </c>
      <c r="AO32" s="75" t="n">
        <v>2</v>
      </c>
      <c r="AP32" s="74" t="n">
        <v>4</v>
      </c>
      <c r="AQ32" s="74">
        <f>IFERROR(IF(AP32&gt;0,AO32/AP32,"-"),"-")</f>
        <v/>
      </c>
      <c r="AR32" s="75" t="n">
        <v>1</v>
      </c>
      <c r="AS32" s="60" t="n"/>
      <c r="AT32" s="60" t="n"/>
    </row>
    <row r="33" ht="15" customHeight="1">
      <c r="A33" s="76" t="inlineStr">
        <is>
          <t xml:space="preserve">  CABALLO COLLECTION</t>
        </is>
      </c>
      <c r="B33" s="77" t="n"/>
      <c r="C33" s="77" t="n"/>
      <c r="D33" s="77" t="n"/>
      <c r="E33" s="77" t="n"/>
      <c r="F33" s="72">
        <f>SUM(I33:AP33)</f>
        <v/>
      </c>
      <c r="G33" s="72">
        <f>SUM(J33:AQ33)</f>
        <v/>
      </c>
      <c r="H33" s="73">
        <f>IFERROR(IF(G33&gt;0,F33/G33,"-"),"-")</f>
        <v/>
      </c>
      <c r="I33" s="74" t="n"/>
      <c r="J33" s="74">
        <f>IFERROR(IF(I33&gt;0,H33/I33,"-"),"-")</f>
        <v/>
      </c>
      <c r="K33" s="75" t="n"/>
      <c r="L33" s="74" t="n"/>
      <c r="M33" s="74">
        <f>IFERROR(IF(L33&gt;0,K33/L33,"-"),"-")</f>
        <v/>
      </c>
      <c r="N33" s="75" t="n"/>
      <c r="O33" s="74" t="n"/>
      <c r="P33" s="74">
        <f>IFERROR(IF(O33&gt;0,N33/O33,"-"),"-")</f>
        <v/>
      </c>
      <c r="Q33" s="75" t="n"/>
      <c r="R33" s="74" t="n"/>
      <c r="S33" s="74">
        <f>IFERROR(IF(R33&gt;0,Q33/R33,"-"),"-")</f>
        <v/>
      </c>
      <c r="T33" s="75" t="n"/>
      <c r="U33" s="74" t="n"/>
      <c r="V33" s="74">
        <f>IFERROR(IF(U33&gt;0,T33/U33,"-"),"-")</f>
        <v/>
      </c>
      <c r="W33" s="75" t="n"/>
      <c r="X33" s="74" t="n">
        <v>1</v>
      </c>
      <c r="Y33" s="74">
        <f>IFERROR(IF(X33&gt;0,W33/X33,"-"),"-")</f>
        <v/>
      </c>
      <c r="Z33" s="75" t="n"/>
      <c r="AA33" s="74" t="n"/>
      <c r="AB33" s="74">
        <f>IFERROR(IF(AA33&gt;0,Z33/AA33,"-"),"-")</f>
        <v/>
      </c>
      <c r="AC33" s="75" t="n"/>
      <c r="AD33" s="74" t="n"/>
      <c r="AE33" s="74">
        <f>IFERROR(IF(AD33&gt;0,AC33/AD33,"-"),"-")</f>
        <v/>
      </c>
      <c r="AF33" s="75" t="n"/>
      <c r="AG33" s="74" t="n"/>
      <c r="AH33" s="74">
        <f>IFERROR(IF(AG33&gt;0,AF33/AG33,"-"),"-")</f>
        <v/>
      </c>
      <c r="AI33" s="75" t="n">
        <v>1</v>
      </c>
      <c r="AJ33" s="74" t="n">
        <v>2</v>
      </c>
      <c r="AK33" s="74">
        <f>IFERROR(IF(AJ33&gt;0,AI33/AJ33,"-"),"-")</f>
        <v/>
      </c>
      <c r="AL33" s="75" t="n"/>
      <c r="AM33" s="74" t="n"/>
      <c r="AN33" s="74">
        <f>IFERROR(IF(AM33&gt;0,AL33/AM33,"-"),"-")</f>
        <v/>
      </c>
      <c r="AO33" s="75" t="n">
        <v>1</v>
      </c>
      <c r="AP33" s="74" t="n">
        <v>5</v>
      </c>
      <c r="AQ33" s="74">
        <f>IFERROR(IF(AP33&gt;0,AO33/AP33,"-"),"-")</f>
        <v/>
      </c>
      <c r="AR33" s="75" t="n"/>
      <c r="AS33" s="59" t="n"/>
      <c r="AT33" s="59" t="n"/>
    </row>
    <row r="34" ht="15" customHeight="1">
      <c r="A34" s="70" t="n">
        <v>26</v>
      </c>
      <c r="B34" s="71" t="inlineStr">
        <is>
          <t>Caballo Collection</t>
        </is>
      </c>
      <c r="C34" s="70" t="inlineStr">
        <is>
          <t>C00004</t>
        </is>
      </c>
      <c r="D34" s="71" t="inlineStr">
        <is>
          <t>Maroon Perfume 100 ML</t>
        </is>
      </c>
      <c r="E34" s="70" t="n">
        <v>1</v>
      </c>
      <c r="F34" s="72">
        <f>SUM(I34:AP34)</f>
        <v/>
      </c>
      <c r="G34" s="72">
        <f>SUM(J34:AQ34)</f>
        <v/>
      </c>
      <c r="H34" s="73">
        <f>IFERROR(IF(G34&gt;0,F34/G34,"-"),"-")</f>
        <v/>
      </c>
      <c r="I34" s="74" t="n">
        <v>2</v>
      </c>
      <c r="J34" s="74">
        <f>IFERROR(IF(I34&gt;0,H34/I34,"-"),"-")</f>
        <v/>
      </c>
      <c r="K34" s="75" t="n">
        <v>1</v>
      </c>
      <c r="L34" s="74" t="n"/>
      <c r="M34" s="74">
        <f>IFERROR(IF(L34&gt;0,K34/L34,"-"),"-")</f>
        <v/>
      </c>
      <c r="N34" s="75" t="n">
        <v>1</v>
      </c>
      <c r="O34" s="74" t="n"/>
      <c r="P34" s="74">
        <f>IFERROR(IF(O34&gt;0,N34/O34,"-"),"-")</f>
        <v/>
      </c>
      <c r="Q34" s="75" t="n">
        <v>1</v>
      </c>
      <c r="R34" s="74" t="n">
        <v>1</v>
      </c>
      <c r="S34" s="74">
        <f>IFERROR(IF(R34&gt;0,Q34/R34,"-"),"-")</f>
        <v/>
      </c>
      <c r="T34" s="75" t="n">
        <v>1</v>
      </c>
      <c r="U34" s="74" t="n">
        <v>3</v>
      </c>
      <c r="V34" s="74">
        <f>IFERROR(IF(U34&gt;0,T34/U34,"-"),"-")</f>
        <v/>
      </c>
      <c r="W34" s="75" t="n">
        <v>1</v>
      </c>
      <c r="X34" s="74" t="n">
        <v>8</v>
      </c>
      <c r="Y34" s="74">
        <f>IFERROR(IF(X34&gt;0,W34/X34,"-"),"-")</f>
        <v/>
      </c>
      <c r="Z34" s="75" t="n">
        <v>1</v>
      </c>
      <c r="AA34" s="74" t="n">
        <v>2</v>
      </c>
      <c r="AB34" s="74">
        <f>IFERROR(IF(AA34&gt;0,Z34/AA34,"-"),"-")</f>
        <v/>
      </c>
      <c r="AC34" s="75" t="n">
        <v>1</v>
      </c>
      <c r="AD34" s="74" t="n">
        <v>1</v>
      </c>
      <c r="AE34" s="74">
        <f>IFERROR(IF(AD34&gt;0,AC34/AD34,"-"),"-")</f>
        <v/>
      </c>
      <c r="AF34" s="75" t="n"/>
      <c r="AG34" s="74" t="n"/>
      <c r="AH34" s="74">
        <f>IFERROR(IF(AG34&gt;0,AF34/AG34,"-"),"-")</f>
        <v/>
      </c>
      <c r="AI34" s="75" t="n">
        <v>1</v>
      </c>
      <c r="AJ34" s="74" t="n">
        <v>1</v>
      </c>
      <c r="AK34" s="74">
        <f>IFERROR(IF(AJ34&gt;0,AI34/AJ34,"-"),"-")</f>
        <v/>
      </c>
      <c r="AL34" s="75" t="n">
        <v>1</v>
      </c>
      <c r="AM34" s="74" t="n">
        <v>3</v>
      </c>
      <c r="AN34" s="74">
        <f>IFERROR(IF(AM34&gt;0,AL34/AM34,"-"),"-")</f>
        <v/>
      </c>
      <c r="AO34" s="75" t="n">
        <v>1</v>
      </c>
      <c r="AP34" s="74" t="n">
        <v>3</v>
      </c>
      <c r="AQ34" s="74">
        <f>IFERROR(IF(AP34&gt;0,AO34/AP34,"-"),"-")</f>
        <v/>
      </c>
      <c r="AR34" s="75" t="n">
        <v>1</v>
      </c>
      <c r="AS34" s="60" t="n"/>
      <c r="AT34" s="60" t="n"/>
    </row>
    <row r="35" ht="15" customHeight="1">
      <c r="A35" s="70" t="n">
        <v>27</v>
      </c>
      <c r="B35" s="71" t="inlineStr">
        <is>
          <t>Caballo Collection</t>
        </is>
      </c>
      <c r="C35" s="70" t="inlineStr">
        <is>
          <t>C00010</t>
        </is>
      </c>
      <c r="D35" s="71" t="inlineStr">
        <is>
          <t>Maroon Intense</t>
        </is>
      </c>
      <c r="E35" s="70" t="n">
        <v>4</v>
      </c>
      <c r="F35" s="72">
        <f>SUM(I35:AP35)</f>
        <v/>
      </c>
      <c r="G35" s="72">
        <f>SUM(J35:AQ35)</f>
        <v/>
      </c>
      <c r="H35" s="73">
        <f>IFERROR(IF(G35&gt;0,F35/G35,"-"),"-")</f>
        <v/>
      </c>
      <c r="I35" s="74" t="n">
        <v>16</v>
      </c>
      <c r="J35" s="74">
        <f>IFERROR(IF(I35&gt;0,H35/I35,"-"),"-")</f>
        <v/>
      </c>
      <c r="K35" s="75" t="n">
        <v>2</v>
      </c>
      <c r="L35" s="74" t="n">
        <v>21</v>
      </c>
      <c r="M35" s="74">
        <f>IFERROR(IF(L35&gt;0,K35/L35,"-"),"-")</f>
        <v/>
      </c>
      <c r="N35" s="75" t="n">
        <v>1</v>
      </c>
      <c r="O35" s="74" t="n">
        <v>8</v>
      </c>
      <c r="P35" s="74">
        <f>IFERROR(IF(O35&gt;0,N35/O35,"-"),"-")</f>
        <v/>
      </c>
      <c r="Q35" s="75" t="n">
        <v>2</v>
      </c>
      <c r="R35" s="74" t="n">
        <v>15</v>
      </c>
      <c r="S35" s="74">
        <f>IFERROR(IF(R35&gt;0,Q35/R35,"-"),"-")</f>
        <v/>
      </c>
      <c r="T35" s="75" t="n">
        <v>3</v>
      </c>
      <c r="U35" s="74" t="n">
        <v>22</v>
      </c>
      <c r="V35" s="74">
        <f>IFERROR(IF(U35&gt;0,T35/U35,"-"),"-")</f>
        <v/>
      </c>
      <c r="W35" s="75" t="n">
        <v>2</v>
      </c>
      <c r="X35" s="74" t="n">
        <v>10</v>
      </c>
      <c r="Y35" s="74">
        <f>IFERROR(IF(X35&gt;0,W35/X35,"-"),"-")</f>
        <v/>
      </c>
      <c r="Z35" s="75" t="n">
        <v>5</v>
      </c>
      <c r="AA35" s="74" t="n">
        <v>22</v>
      </c>
      <c r="AB35" s="74">
        <f>IFERROR(IF(AA35&gt;0,Z35/AA35,"-"),"-")</f>
        <v/>
      </c>
      <c r="AC35" s="75" t="n">
        <v>1</v>
      </c>
      <c r="AD35" s="74" t="n">
        <v>20</v>
      </c>
      <c r="AE35" s="74">
        <f>IFERROR(IF(AD35&gt;0,AC35/AD35,"-"),"-")</f>
        <v/>
      </c>
      <c r="AF35" s="75" t="n">
        <v>1</v>
      </c>
      <c r="AG35" s="74" t="n"/>
      <c r="AH35" s="74">
        <f>IFERROR(IF(AG35&gt;0,AF35/AG35,"-"),"-")</f>
        <v/>
      </c>
      <c r="AI35" s="75" t="n">
        <v>2</v>
      </c>
      <c r="AJ35" s="74" t="n">
        <v>20</v>
      </c>
      <c r="AK35" s="74">
        <f>IFERROR(IF(AJ35&gt;0,AI35/AJ35,"-"),"-")</f>
        <v/>
      </c>
      <c r="AL35" s="75" t="n">
        <v>1</v>
      </c>
      <c r="AM35" s="74" t="n">
        <v>9</v>
      </c>
      <c r="AN35" s="74">
        <f>IFERROR(IF(AM35&gt;0,AL35/AM35,"-"),"-")</f>
        <v/>
      </c>
      <c r="AO35" s="75" t="n">
        <v>1</v>
      </c>
      <c r="AP35" s="74" t="n">
        <v>4</v>
      </c>
      <c r="AQ35" s="74">
        <f>IFERROR(IF(AP35&gt;0,AO35/AP35,"-"),"-")</f>
        <v/>
      </c>
      <c r="AR35" s="75" t="n">
        <v>2</v>
      </c>
      <c r="AS35" s="60" t="n"/>
      <c r="AT35" s="60" t="n"/>
    </row>
    <row r="36" ht="15" customHeight="1">
      <c r="A36" s="70" t="n">
        <v>28</v>
      </c>
      <c r="B36" s="71" t="inlineStr">
        <is>
          <t>Caballo Collection</t>
        </is>
      </c>
      <c r="C36" s="70" t="inlineStr">
        <is>
          <t>C00011</t>
        </is>
      </c>
      <c r="D36" s="71" t="inlineStr">
        <is>
          <t>Violet Perfume 100ml</t>
        </is>
      </c>
      <c r="E36" s="70" t="n">
        <v>1</v>
      </c>
      <c r="F36" s="72">
        <f>SUM(I36:AP36)</f>
        <v/>
      </c>
      <c r="G36" s="72">
        <f>SUM(J36:AQ36)</f>
        <v/>
      </c>
      <c r="H36" s="73">
        <f>IFERROR(IF(G36&gt;0,F36/G36,"-"),"-")</f>
        <v/>
      </c>
      <c r="I36" s="74" t="n"/>
      <c r="J36" s="74">
        <f>IFERROR(IF(I36&gt;0,H36/I36,"-"),"-")</f>
        <v/>
      </c>
      <c r="K36" s="75" t="n"/>
      <c r="L36" s="74" t="n">
        <v>1</v>
      </c>
      <c r="M36" s="74">
        <f>IFERROR(IF(L36&gt;0,K36/L36,"-"),"-")</f>
        <v/>
      </c>
      <c r="N36" s="75" t="n">
        <v>1</v>
      </c>
      <c r="O36" s="74" t="n"/>
      <c r="P36" s="74">
        <f>IFERROR(IF(O36&gt;0,N36/O36,"-"),"-")</f>
        <v/>
      </c>
      <c r="Q36" s="75" t="n">
        <v>1</v>
      </c>
      <c r="R36" s="74" t="n">
        <v>1</v>
      </c>
      <c r="S36" s="74">
        <f>IFERROR(IF(R36&gt;0,Q36/R36,"-"),"-")</f>
        <v/>
      </c>
      <c r="T36" s="75" t="n"/>
      <c r="U36" s="74" t="n"/>
      <c r="V36" s="74">
        <f>IFERROR(IF(U36&gt;0,T36/U36,"-"),"-")</f>
        <v/>
      </c>
      <c r="W36" s="75" t="n"/>
      <c r="X36" s="74" t="n">
        <v>1</v>
      </c>
      <c r="Y36" s="74">
        <f>IFERROR(IF(X36&gt;0,W36/X36,"-"),"-")</f>
        <v/>
      </c>
      <c r="Z36" s="75" t="n">
        <v>1</v>
      </c>
      <c r="AA36" s="74" t="n">
        <v>2</v>
      </c>
      <c r="AB36" s="74">
        <f>IFERROR(IF(AA36&gt;0,Z36/AA36,"-"),"-")</f>
        <v/>
      </c>
      <c r="AC36" s="75" t="n"/>
      <c r="AD36" s="74" t="n">
        <v>1</v>
      </c>
      <c r="AE36" s="74">
        <f>IFERROR(IF(AD36&gt;0,AC36/AD36,"-"),"-")</f>
        <v/>
      </c>
      <c r="AF36" s="75" t="n"/>
      <c r="AG36" s="74" t="n"/>
      <c r="AH36" s="74">
        <f>IFERROR(IF(AG36&gt;0,AF36/AG36,"-"),"-")</f>
        <v/>
      </c>
      <c r="AI36" s="75" t="n"/>
      <c r="AJ36" s="74" t="n">
        <v>2</v>
      </c>
      <c r="AK36" s="74">
        <f>IFERROR(IF(AJ36&gt;0,AI36/AJ36,"-"),"-")</f>
        <v/>
      </c>
      <c r="AL36" s="75" t="n"/>
      <c r="AM36" s="74" t="n"/>
      <c r="AN36" s="74">
        <f>IFERROR(IF(AM36&gt;0,AL36/AM36,"-"),"-")</f>
        <v/>
      </c>
      <c r="AO36" s="75" t="n">
        <v>1</v>
      </c>
      <c r="AP36" s="74" t="n">
        <v>1</v>
      </c>
      <c r="AQ36" s="74">
        <f>IFERROR(IF(AP36&gt;0,AO36/AP36,"-"),"-")</f>
        <v/>
      </c>
      <c r="AR36" s="75" t="n">
        <v>1</v>
      </c>
      <c r="AS36" s="60" t="n"/>
      <c r="AT36" s="60" t="n"/>
    </row>
    <row r="37" ht="15" customHeight="1">
      <c r="A37" s="70" t="n">
        <v>29</v>
      </c>
      <c r="B37" s="71" t="inlineStr">
        <is>
          <t>Caballo Collection</t>
        </is>
      </c>
      <c r="C37" s="70" t="inlineStr">
        <is>
          <t>C00012</t>
        </is>
      </c>
      <c r="D37" s="71" t="inlineStr">
        <is>
          <t>Navy Perfume 100ml</t>
        </is>
      </c>
      <c r="E37" s="70" t="n">
        <v>1</v>
      </c>
      <c r="F37" s="72">
        <f>SUM(I37:AP37)</f>
        <v/>
      </c>
      <c r="G37" s="72">
        <f>SUM(J37:AQ37)</f>
        <v/>
      </c>
      <c r="H37" s="73">
        <f>IFERROR(IF(G37&gt;0,F37/G37,"-"),"-")</f>
        <v/>
      </c>
      <c r="I37" s="74" t="n">
        <v>1</v>
      </c>
      <c r="J37" s="74">
        <f>IFERROR(IF(I37&gt;0,H37/I37,"-"),"-")</f>
        <v/>
      </c>
      <c r="K37" s="75" t="n"/>
      <c r="L37" s="74" t="n">
        <v>1</v>
      </c>
      <c r="M37" s="74">
        <f>IFERROR(IF(L37&gt;0,K37/L37,"-"),"-")</f>
        <v/>
      </c>
      <c r="N37" s="75" t="n">
        <v>1</v>
      </c>
      <c r="O37" s="74" t="n">
        <v>3</v>
      </c>
      <c r="P37" s="74">
        <f>IFERROR(IF(O37&gt;0,N37/O37,"-"),"-")</f>
        <v/>
      </c>
      <c r="Q37" s="75" t="n"/>
      <c r="R37" s="74" t="n">
        <v>2</v>
      </c>
      <c r="S37" s="74">
        <f>IFERROR(IF(R37&gt;0,Q37/R37,"-"),"-")</f>
        <v/>
      </c>
      <c r="T37" s="75" t="n">
        <v>1</v>
      </c>
      <c r="U37" s="74" t="n">
        <v>3</v>
      </c>
      <c r="V37" s="74">
        <f>IFERROR(IF(U37&gt;0,T37/U37,"-"),"-")</f>
        <v/>
      </c>
      <c r="W37" s="75" t="n">
        <v>1</v>
      </c>
      <c r="X37" s="74" t="n">
        <v>3</v>
      </c>
      <c r="Y37" s="74">
        <f>IFERROR(IF(X37&gt;0,W37/X37,"-"),"-")</f>
        <v/>
      </c>
      <c r="Z37" s="75" t="n">
        <v>2</v>
      </c>
      <c r="AA37" s="74" t="n">
        <v>5</v>
      </c>
      <c r="AB37" s="74">
        <f>IFERROR(IF(AA37&gt;0,Z37/AA37,"-"),"-")</f>
        <v/>
      </c>
      <c r="AC37" s="75" t="n"/>
      <c r="AD37" s="74" t="n">
        <v>3</v>
      </c>
      <c r="AE37" s="74">
        <f>IFERROR(IF(AD37&gt;0,AC37/AD37,"-"),"-")</f>
        <v/>
      </c>
      <c r="AF37" s="75" t="n"/>
      <c r="AG37" s="74" t="n"/>
      <c r="AH37" s="74">
        <f>IFERROR(IF(AG37&gt;0,AF37/AG37,"-"),"-")</f>
        <v/>
      </c>
      <c r="AI37" s="75" t="n">
        <v>1</v>
      </c>
      <c r="AJ37" s="74" t="n">
        <v>4</v>
      </c>
      <c r="AK37" s="74">
        <f>IFERROR(IF(AJ37&gt;0,AI37/AJ37,"-"),"-")</f>
        <v/>
      </c>
      <c r="AL37" s="75" t="n">
        <v>1</v>
      </c>
      <c r="AM37" s="74" t="n">
        <v>3</v>
      </c>
      <c r="AN37" s="74">
        <f>IFERROR(IF(AM37&gt;0,AL37/AM37,"-"),"-")</f>
        <v/>
      </c>
      <c r="AO37" s="75" t="n">
        <v>1</v>
      </c>
      <c r="AP37" s="74" t="n">
        <v>2</v>
      </c>
      <c r="AQ37" s="74">
        <f>IFERROR(IF(AP37&gt;0,AO37/AP37,"-"),"-")</f>
        <v/>
      </c>
      <c r="AR37" s="75" t="n">
        <v>1</v>
      </c>
      <c r="AS37" s="60" t="n"/>
      <c r="AT37" s="60" t="n"/>
    </row>
    <row r="38" ht="15" customHeight="1">
      <c r="A38" s="70" t="n">
        <v>30</v>
      </c>
      <c r="B38" s="71" t="inlineStr">
        <is>
          <t>Caballo Collection</t>
        </is>
      </c>
      <c r="C38" s="70" t="inlineStr">
        <is>
          <t>C00013</t>
        </is>
      </c>
      <c r="D38" s="71" t="inlineStr">
        <is>
          <t>White Overdose Perfume 100ml</t>
        </is>
      </c>
      <c r="E38" s="70" t="n">
        <v>3</v>
      </c>
      <c r="F38" s="72">
        <f>SUM(I38:AP38)</f>
        <v/>
      </c>
      <c r="G38" s="72">
        <f>SUM(J38:AQ38)</f>
        <v/>
      </c>
      <c r="H38" s="73">
        <f>IFERROR(IF(G38&gt;0,F38/G38,"-"),"-")</f>
        <v/>
      </c>
      <c r="I38" s="74" t="n">
        <v>2</v>
      </c>
      <c r="J38" s="74">
        <f>IFERROR(IF(I38&gt;0,H38/I38,"-"),"-")</f>
        <v/>
      </c>
      <c r="K38" s="75" t="n">
        <v>1</v>
      </c>
      <c r="L38" s="74" t="n">
        <v>10</v>
      </c>
      <c r="M38" s="74">
        <f>IFERROR(IF(L38&gt;0,K38/L38,"-"),"-")</f>
        <v/>
      </c>
      <c r="N38" s="75" t="n">
        <v>1</v>
      </c>
      <c r="O38" s="74" t="n">
        <v>2</v>
      </c>
      <c r="P38" s="74">
        <f>IFERROR(IF(O38&gt;0,N38/O38,"-"),"-")</f>
        <v/>
      </c>
      <c r="Q38" s="75" t="n">
        <v>1</v>
      </c>
      <c r="R38" s="74" t="n">
        <v>10</v>
      </c>
      <c r="S38" s="74">
        <f>IFERROR(IF(R38&gt;0,Q38/R38,"-"),"-")</f>
        <v/>
      </c>
      <c r="T38" s="75" t="n">
        <v>3</v>
      </c>
      <c r="U38" s="74" t="n">
        <v>9</v>
      </c>
      <c r="V38" s="74">
        <f>IFERROR(IF(U38&gt;0,T38/U38,"-"),"-")</f>
        <v/>
      </c>
      <c r="W38" s="75" t="n">
        <v>1</v>
      </c>
      <c r="X38" s="74" t="n">
        <v>4</v>
      </c>
      <c r="Y38" s="74">
        <f>IFERROR(IF(X38&gt;0,W38/X38,"-"),"-")</f>
        <v/>
      </c>
      <c r="Z38" s="75" t="n">
        <v>5</v>
      </c>
      <c r="AA38" s="74" t="n">
        <v>19</v>
      </c>
      <c r="AB38" s="74">
        <f>IFERROR(IF(AA38&gt;0,Z38/AA38,"-"),"-")</f>
        <v/>
      </c>
      <c r="AC38" s="75" t="n">
        <v>1</v>
      </c>
      <c r="AD38" s="74" t="n">
        <v>7</v>
      </c>
      <c r="AE38" s="74">
        <f>IFERROR(IF(AD38&gt;0,AC38/AD38,"-"),"-")</f>
        <v/>
      </c>
      <c r="AF38" s="75" t="n"/>
      <c r="AG38" s="74" t="n"/>
      <c r="AH38" s="74">
        <f>IFERROR(IF(AG38&gt;0,AF38/AG38,"-"),"-")</f>
        <v/>
      </c>
      <c r="AI38" s="75" t="n">
        <v>1</v>
      </c>
      <c r="AJ38" s="74" t="n">
        <v>4</v>
      </c>
      <c r="AK38" s="74">
        <f>IFERROR(IF(AJ38&gt;0,AI38/AJ38,"-"),"-")</f>
        <v/>
      </c>
      <c r="AL38" s="75" t="n">
        <v>1</v>
      </c>
      <c r="AM38" s="74" t="n">
        <v>2</v>
      </c>
      <c r="AN38" s="74">
        <f>IFERROR(IF(AM38&gt;0,AL38/AM38,"-"),"-")</f>
        <v/>
      </c>
      <c r="AO38" s="75" t="n">
        <v>1</v>
      </c>
      <c r="AP38" s="74" t="n">
        <v>9</v>
      </c>
      <c r="AQ38" s="74">
        <f>IFERROR(IF(AP38&gt;0,AO38/AP38,"-"),"-")</f>
        <v/>
      </c>
      <c r="AR38" s="75" t="n">
        <v>1</v>
      </c>
      <c r="AS38" s="60" t="n"/>
      <c r="AT38" s="60" t="n"/>
    </row>
    <row r="39" ht="15" customHeight="1">
      <c r="A39" s="70" t="n">
        <v>31</v>
      </c>
      <c r="B39" s="71" t="inlineStr">
        <is>
          <t>Caballo Collection</t>
        </is>
      </c>
      <c r="C39" s="70" t="inlineStr">
        <is>
          <t>C00014</t>
        </is>
      </c>
      <c r="D39" s="71" t="inlineStr">
        <is>
          <t>Black Perfume 100ml</t>
        </is>
      </c>
      <c r="E39" s="70" t="n"/>
      <c r="F39" s="72">
        <f>SUM(I39:AP39)</f>
        <v/>
      </c>
      <c r="G39" s="72">
        <f>SUM(J39:AQ39)</f>
        <v/>
      </c>
      <c r="H39" s="73">
        <f>IFERROR(IF(G39&gt;0,F39/G39,"-"),"-")</f>
        <v/>
      </c>
      <c r="I39" s="74" t="n"/>
      <c r="J39" s="74">
        <f>IFERROR(IF(I39&gt;0,H39/I39,"-"),"-")</f>
        <v/>
      </c>
      <c r="K39" s="75" t="n"/>
      <c r="L39" s="74" t="n">
        <v>1</v>
      </c>
      <c r="M39" s="74">
        <f>IFERROR(IF(L39&gt;0,K39/L39,"-"),"-")</f>
        <v/>
      </c>
      <c r="N39" s="75" t="n"/>
      <c r="O39" s="74" t="n">
        <v>2</v>
      </c>
      <c r="P39" s="74">
        <f>IFERROR(IF(O39&gt;0,N39/O39,"-"),"-")</f>
        <v/>
      </c>
      <c r="Q39" s="75" t="n"/>
      <c r="R39" s="74" t="n"/>
      <c r="S39" s="74">
        <f>IFERROR(IF(R39&gt;0,Q39/R39,"-"),"-")</f>
        <v/>
      </c>
      <c r="T39" s="75" t="n">
        <v>1</v>
      </c>
      <c r="U39" s="74" t="n">
        <v>2</v>
      </c>
      <c r="V39" s="74">
        <f>IFERROR(IF(U39&gt;0,T39/U39,"-"),"-")</f>
        <v/>
      </c>
      <c r="W39" s="75" t="n"/>
      <c r="X39" s="74" t="n">
        <v>1</v>
      </c>
      <c r="Y39" s="74">
        <f>IFERROR(IF(X39&gt;0,W39/X39,"-"),"-")</f>
        <v/>
      </c>
      <c r="Z39" s="75" t="n"/>
      <c r="AA39" s="74" t="n">
        <v>1</v>
      </c>
      <c r="AB39" s="74">
        <f>IFERROR(IF(AA39&gt;0,Z39/AA39,"-"),"-")</f>
        <v/>
      </c>
      <c r="AC39" s="75" t="n"/>
      <c r="AD39" s="74" t="n"/>
      <c r="AE39" s="74">
        <f>IFERROR(IF(AD39&gt;0,AC39/AD39,"-"),"-")</f>
        <v/>
      </c>
      <c r="AF39" s="75" t="n"/>
      <c r="AG39" s="74" t="n"/>
      <c r="AH39" s="74">
        <f>IFERROR(IF(AG39&gt;0,AF39/AG39,"-"),"-")</f>
        <v/>
      </c>
      <c r="AI39" s="75" t="n"/>
      <c r="AJ39" s="74" t="n"/>
      <c r="AK39" s="74">
        <f>IFERROR(IF(AJ39&gt;0,AI39/AJ39,"-"),"-")</f>
        <v/>
      </c>
      <c r="AL39" s="75" t="n"/>
      <c r="AM39" s="74" t="n"/>
      <c r="AN39" s="74">
        <f>IFERROR(IF(AM39&gt;0,AL39/AM39,"-"),"-")</f>
        <v/>
      </c>
      <c r="AO39" s="75" t="n">
        <v>1</v>
      </c>
      <c r="AP39" s="74" t="n">
        <v>1</v>
      </c>
      <c r="AQ39" s="74">
        <f>IFERROR(IF(AP39&gt;0,AO39/AP39,"-"),"-")</f>
        <v/>
      </c>
      <c r="AR39" s="75" t="n"/>
      <c r="AS39" s="60" t="n"/>
      <c r="AT39" s="60" t="n"/>
    </row>
    <row r="40" ht="15" customHeight="1">
      <c r="A40" s="76" t="inlineStr">
        <is>
          <t xml:space="preserve">  DAKHOON COLLECTION</t>
        </is>
      </c>
      <c r="B40" s="77" t="n"/>
      <c r="C40" s="77" t="n"/>
      <c r="D40" s="77" t="n"/>
      <c r="E40" s="77" t="n">
        <v>2</v>
      </c>
      <c r="F40" s="72">
        <f>SUM(I40:AP40)</f>
        <v/>
      </c>
      <c r="G40" s="72">
        <f>SUM(J40:AQ40)</f>
        <v/>
      </c>
      <c r="H40" s="73">
        <f>IFERROR(IF(G40&gt;0,F40/G40,"-"),"-")</f>
        <v/>
      </c>
      <c r="I40" s="74" t="n"/>
      <c r="J40" s="74">
        <f>IFERROR(IF(I40&gt;0,H40/I40,"-"),"-")</f>
        <v/>
      </c>
      <c r="K40" s="75" t="n"/>
      <c r="L40" s="74" t="n"/>
      <c r="M40" s="74">
        <f>IFERROR(IF(L40&gt;0,K40/L40,"-"),"-")</f>
        <v/>
      </c>
      <c r="N40" s="75" t="n">
        <v>1</v>
      </c>
      <c r="O40" s="74" t="n"/>
      <c r="P40" s="74">
        <f>IFERROR(IF(O40&gt;0,N40/O40,"-"),"-")</f>
        <v/>
      </c>
      <c r="Q40" s="75" t="n"/>
      <c r="R40" s="74" t="n"/>
      <c r="S40" s="74">
        <f>IFERROR(IF(R40&gt;0,Q40/R40,"-"),"-")</f>
        <v/>
      </c>
      <c r="T40" s="75" t="n"/>
      <c r="U40" s="74" t="n"/>
      <c r="V40" s="74">
        <f>IFERROR(IF(U40&gt;0,T40/U40,"-"),"-")</f>
        <v/>
      </c>
      <c r="W40" s="75" t="n">
        <v>1</v>
      </c>
      <c r="X40" s="74" t="n">
        <v>1</v>
      </c>
      <c r="Y40" s="74">
        <f>IFERROR(IF(X40&gt;0,W40/X40,"-"),"-")</f>
        <v/>
      </c>
      <c r="Z40" s="75" t="n"/>
      <c r="AA40" s="74" t="n">
        <v>1</v>
      </c>
      <c r="AB40" s="74">
        <f>IFERROR(IF(AA40&gt;0,Z40/AA40,"-"),"-")</f>
        <v/>
      </c>
      <c r="AC40" s="75" t="n"/>
      <c r="AD40" s="74" t="n"/>
      <c r="AE40" s="74">
        <f>IFERROR(IF(AD40&gt;0,AC40/AD40,"-"),"-")</f>
        <v/>
      </c>
      <c r="AF40" s="75" t="n"/>
      <c r="AG40" s="74" t="n"/>
      <c r="AH40" s="74">
        <f>IFERROR(IF(AG40&gt;0,AF40/AG40,"-"),"-")</f>
        <v/>
      </c>
      <c r="AI40" s="75" t="n">
        <v>1</v>
      </c>
      <c r="AJ40" s="74" t="n">
        <v>2</v>
      </c>
      <c r="AK40" s="74">
        <f>IFERROR(IF(AJ40&gt;0,AI40/AJ40,"-"),"-")</f>
        <v/>
      </c>
      <c r="AL40" s="75" t="n"/>
      <c r="AM40" s="74" t="n"/>
      <c r="AN40" s="74">
        <f>IFERROR(IF(AM40&gt;0,AL40/AM40,"-"),"-")</f>
        <v/>
      </c>
      <c r="AO40" s="75" t="n">
        <v>1</v>
      </c>
      <c r="AP40" s="74" t="n">
        <v>9</v>
      </c>
      <c r="AQ40" s="74">
        <f>IFERROR(IF(AP40&gt;0,AO40/AP40,"-"),"-")</f>
        <v/>
      </c>
      <c r="AR40" s="75" t="n">
        <v>1</v>
      </c>
      <c r="AS40" s="59" t="n"/>
      <c r="AT40" s="59" t="n"/>
    </row>
    <row r="41" ht="15" customHeight="1">
      <c r="A41" s="70" t="n">
        <v>32</v>
      </c>
      <c r="B41" s="71" t="inlineStr">
        <is>
          <t>Dakhoon Collection</t>
        </is>
      </c>
      <c r="C41" s="70" t="inlineStr">
        <is>
          <t>D00001</t>
        </is>
      </c>
      <c r="D41" s="71" t="inlineStr">
        <is>
          <t>Dakhoon Al Emarat</t>
        </is>
      </c>
      <c r="E41" s="70" t="n"/>
      <c r="F41" s="72">
        <f>SUM(I41:AP41)</f>
        <v/>
      </c>
      <c r="G41" s="72">
        <f>SUM(J41:AQ41)</f>
        <v/>
      </c>
      <c r="H41" s="73">
        <f>IFERROR(IF(G41&gt;0,F41/G41,"-"),"-")</f>
        <v/>
      </c>
      <c r="I41" s="74" t="n"/>
      <c r="J41" s="74">
        <f>IFERROR(IF(I41&gt;0,H41/I41,"-"),"-")</f>
        <v/>
      </c>
      <c r="K41" s="75" t="n">
        <v>1</v>
      </c>
      <c r="L41" s="74" t="n"/>
      <c r="M41" s="74">
        <f>IFERROR(IF(L41&gt;0,K41/L41,"-"),"-")</f>
        <v/>
      </c>
      <c r="N41" s="75" t="n"/>
      <c r="O41" s="74" t="n"/>
      <c r="P41" s="74">
        <f>IFERROR(IF(O41&gt;0,N41/O41,"-"),"-")</f>
        <v/>
      </c>
      <c r="Q41" s="75" t="n"/>
      <c r="R41" s="74" t="n">
        <v>1</v>
      </c>
      <c r="S41" s="74">
        <f>IFERROR(IF(R41&gt;0,Q41/R41,"-"),"-")</f>
        <v/>
      </c>
      <c r="T41" s="75" t="n"/>
      <c r="U41" s="74" t="n"/>
      <c r="V41" s="74">
        <f>IFERROR(IF(U41&gt;0,T41/U41,"-"),"-")</f>
        <v/>
      </c>
      <c r="W41" s="75" t="n"/>
      <c r="X41" s="74" t="n"/>
      <c r="Y41" s="74">
        <f>IFERROR(IF(X41&gt;0,W41/X41,"-"),"-")</f>
        <v/>
      </c>
      <c r="Z41" s="75" t="n"/>
      <c r="AA41" s="74" t="n"/>
      <c r="AB41" s="74">
        <f>IFERROR(IF(AA41&gt;0,Z41/AA41,"-"),"-")</f>
        <v/>
      </c>
      <c r="AC41" s="75" t="n"/>
      <c r="AD41" s="74" t="n"/>
      <c r="AE41" s="74">
        <f>IFERROR(IF(AD41&gt;0,AC41/AD41,"-"),"-")</f>
        <v/>
      </c>
      <c r="AF41" s="75" t="n"/>
      <c r="AG41" s="74" t="n"/>
      <c r="AH41" s="74">
        <f>IFERROR(IF(AG41&gt;0,AF41/AG41,"-"),"-")</f>
        <v/>
      </c>
      <c r="AI41" s="75" t="n">
        <v>1</v>
      </c>
      <c r="AJ41" s="74" t="n"/>
      <c r="AK41" s="74">
        <f>IFERROR(IF(AJ41&gt;0,AI41/AJ41,"-"),"-")</f>
        <v/>
      </c>
      <c r="AL41" s="75" t="n"/>
      <c r="AM41" s="74" t="n">
        <v>1</v>
      </c>
      <c r="AN41" s="74">
        <f>IFERROR(IF(AM41&gt;0,AL41/AM41,"-"),"-")</f>
        <v/>
      </c>
      <c r="AO41" s="75" t="n"/>
      <c r="AP41" s="74" t="n"/>
      <c r="AQ41" s="74">
        <f>IFERROR(IF(AP41&gt;0,AO41/AP41,"-"),"-")</f>
        <v/>
      </c>
      <c r="AR41" s="75" t="n"/>
      <c r="AS41" s="60" t="n"/>
      <c r="AT41" s="60" t="n"/>
    </row>
    <row r="42" ht="15" customHeight="1">
      <c r="A42" s="70" t="n">
        <v>33</v>
      </c>
      <c r="B42" s="71" t="inlineStr">
        <is>
          <t>Dakhoon Collection</t>
        </is>
      </c>
      <c r="C42" s="70" t="inlineStr">
        <is>
          <t>D00002</t>
        </is>
      </c>
      <c r="D42" s="71" t="inlineStr">
        <is>
          <t>Dakhoon Al Marasim</t>
        </is>
      </c>
      <c r="E42" s="70" t="n"/>
      <c r="F42" s="72">
        <f>SUM(I42:AP42)</f>
        <v/>
      </c>
      <c r="G42" s="72">
        <f>SUM(J42:AQ42)</f>
        <v/>
      </c>
      <c r="H42" s="73">
        <f>IFERROR(IF(G42&gt;0,F42/G42,"-"),"-")</f>
        <v/>
      </c>
      <c r="I42" s="74" t="n"/>
      <c r="J42" s="74">
        <f>IFERROR(IF(I42&gt;0,H42/I42,"-"),"-")</f>
        <v/>
      </c>
      <c r="K42" s="75" t="n"/>
      <c r="L42" s="74" t="n"/>
      <c r="M42" s="74">
        <f>IFERROR(IF(L42&gt;0,K42/L42,"-"),"-")</f>
        <v/>
      </c>
      <c r="N42" s="75" t="n"/>
      <c r="O42" s="74" t="n"/>
      <c r="P42" s="74">
        <f>IFERROR(IF(O42&gt;0,N42/O42,"-"),"-")</f>
        <v/>
      </c>
      <c r="Q42" s="75" t="n"/>
      <c r="R42" s="74" t="n">
        <v>2</v>
      </c>
      <c r="S42" s="74">
        <f>IFERROR(IF(R42&gt;0,Q42/R42,"-"),"-")</f>
        <v/>
      </c>
      <c r="T42" s="75" t="n"/>
      <c r="U42" s="74" t="n"/>
      <c r="V42" s="74">
        <f>IFERROR(IF(U42&gt;0,T42/U42,"-"),"-")</f>
        <v/>
      </c>
      <c r="W42" s="75" t="n"/>
      <c r="X42" s="74" t="n"/>
      <c r="Y42" s="74">
        <f>IFERROR(IF(X42&gt;0,W42/X42,"-"),"-")</f>
        <v/>
      </c>
      <c r="Z42" s="75" t="n"/>
      <c r="AA42" s="74" t="n"/>
      <c r="AB42" s="74">
        <f>IFERROR(IF(AA42&gt;0,Z42/AA42,"-"),"-")</f>
        <v/>
      </c>
      <c r="AC42" s="75" t="n"/>
      <c r="AD42" s="74" t="n"/>
      <c r="AE42" s="74">
        <f>IFERROR(IF(AD42&gt;0,AC42/AD42,"-"),"-")</f>
        <v/>
      </c>
      <c r="AF42" s="75" t="n"/>
      <c r="AG42" s="74" t="n"/>
      <c r="AH42" s="74">
        <f>IFERROR(IF(AG42&gt;0,AF42/AG42,"-"),"-")</f>
        <v/>
      </c>
      <c r="AI42" s="75" t="n">
        <v>1</v>
      </c>
      <c r="AJ42" s="74" t="n"/>
      <c r="AK42" s="74">
        <f>IFERROR(IF(AJ42&gt;0,AI42/AJ42,"-"),"-")</f>
        <v/>
      </c>
      <c r="AL42" s="75" t="n"/>
      <c r="AM42" s="74" t="n">
        <v>2</v>
      </c>
      <c r="AN42" s="74">
        <f>IFERROR(IF(AM42&gt;0,AL42/AM42,"-"),"-")</f>
        <v/>
      </c>
      <c r="AO42" s="75" t="n"/>
      <c r="AP42" s="74" t="n"/>
      <c r="AQ42" s="74">
        <f>IFERROR(IF(AP42&gt;0,AO42/AP42,"-"),"-")</f>
        <v/>
      </c>
      <c r="AR42" s="75" t="n"/>
      <c r="AS42" s="60" t="n"/>
      <c r="AT42" s="60" t="n"/>
    </row>
    <row r="43" ht="15" customHeight="1">
      <c r="A43" s="70" t="n">
        <v>34</v>
      </c>
      <c r="B43" s="71" t="inlineStr">
        <is>
          <t>Dakhoon Collection</t>
        </is>
      </c>
      <c r="C43" s="70" t="inlineStr">
        <is>
          <t>D00003</t>
        </is>
      </c>
      <c r="D43" s="71" t="inlineStr">
        <is>
          <t>Dakhoon Badia</t>
        </is>
      </c>
      <c r="E43" s="70" t="n">
        <v>1</v>
      </c>
      <c r="F43" s="72">
        <f>SUM(I43:AP43)</f>
        <v/>
      </c>
      <c r="G43" s="72">
        <f>SUM(J43:AQ43)</f>
        <v/>
      </c>
      <c r="H43" s="73">
        <f>IFERROR(IF(G43&gt;0,F43/G43,"-"),"-")</f>
        <v/>
      </c>
      <c r="I43" s="74" t="n">
        <v>4</v>
      </c>
      <c r="J43" s="74">
        <f>IFERROR(IF(I43&gt;0,H43/I43,"-"),"-")</f>
        <v/>
      </c>
      <c r="K43" s="75" t="n"/>
      <c r="L43" s="74" t="n"/>
      <c r="M43" s="74">
        <f>IFERROR(IF(L43&gt;0,K43/L43,"-"),"-")</f>
        <v/>
      </c>
      <c r="N43" s="75" t="n"/>
      <c r="O43" s="74" t="n"/>
      <c r="P43" s="74">
        <f>IFERROR(IF(O43&gt;0,N43/O43,"-"),"-")</f>
        <v/>
      </c>
      <c r="Q43" s="75" t="n"/>
      <c r="R43" s="74" t="n">
        <v>5</v>
      </c>
      <c r="S43" s="74">
        <f>IFERROR(IF(R43&gt;0,Q43/R43,"-"),"-")</f>
        <v/>
      </c>
      <c r="T43" s="75" t="n"/>
      <c r="U43" s="74" t="n">
        <v>3</v>
      </c>
      <c r="V43" s="74">
        <f>IFERROR(IF(U43&gt;0,T43/U43,"-"),"-")</f>
        <v/>
      </c>
      <c r="W43" s="75" t="n"/>
      <c r="X43" s="74" t="n">
        <v>2</v>
      </c>
      <c r="Y43" s="74">
        <f>IFERROR(IF(X43&gt;0,W43/X43,"-"),"-")</f>
        <v/>
      </c>
      <c r="Z43" s="75" t="n">
        <v>1</v>
      </c>
      <c r="AA43" s="74" t="n">
        <v>2</v>
      </c>
      <c r="AB43" s="74">
        <f>IFERROR(IF(AA43&gt;0,Z43/AA43,"-"),"-")</f>
        <v/>
      </c>
      <c r="AC43" s="75" t="n"/>
      <c r="AD43" s="74" t="n">
        <v>4</v>
      </c>
      <c r="AE43" s="74">
        <f>IFERROR(IF(AD43&gt;0,AC43/AD43,"-"),"-")</f>
        <v/>
      </c>
      <c r="AF43" s="75" t="n"/>
      <c r="AG43" s="74" t="n"/>
      <c r="AH43" s="74">
        <f>IFERROR(IF(AG43&gt;0,AF43/AG43,"-"),"-")</f>
        <v/>
      </c>
      <c r="AI43" s="75" t="n"/>
      <c r="AJ43" s="74" t="n">
        <v>1</v>
      </c>
      <c r="AK43" s="74">
        <f>IFERROR(IF(AJ43&gt;0,AI43/AJ43,"-"),"-")</f>
        <v/>
      </c>
      <c r="AL43" s="75" t="n"/>
      <c r="AM43" s="74" t="n"/>
      <c r="AN43" s="74">
        <f>IFERROR(IF(AM43&gt;0,AL43/AM43,"-"),"-")</f>
        <v/>
      </c>
      <c r="AO43" s="75" t="n"/>
      <c r="AP43" s="74" t="n"/>
      <c r="AQ43" s="74">
        <f>IFERROR(IF(AP43&gt;0,AO43/AP43,"-"),"-")</f>
        <v/>
      </c>
      <c r="AR43" s="75" t="n"/>
      <c r="AS43" s="60" t="n"/>
      <c r="AT43" s="60" t="n"/>
    </row>
    <row r="44" ht="15" customHeight="1">
      <c r="A44" s="70" t="n">
        <v>35</v>
      </c>
      <c r="B44" s="71" t="inlineStr">
        <is>
          <t>Dakhoon Collection</t>
        </is>
      </c>
      <c r="C44" s="70" t="inlineStr">
        <is>
          <t>D00004</t>
        </is>
      </c>
      <c r="D44" s="71" t="inlineStr">
        <is>
          <t>Dakhoon Al Dar</t>
        </is>
      </c>
      <c r="E44" s="70" t="n"/>
      <c r="F44" s="72">
        <f>SUM(I44:AP44)</f>
        <v/>
      </c>
      <c r="G44" s="72">
        <f>SUM(J44:AQ44)</f>
        <v/>
      </c>
      <c r="H44" s="73">
        <f>IFERROR(IF(G44&gt;0,F44/G44,"-"),"-")</f>
        <v/>
      </c>
      <c r="I44" s="74" t="n">
        <v>2</v>
      </c>
      <c r="J44" s="74">
        <f>IFERROR(IF(I44&gt;0,H44/I44,"-"),"-")</f>
        <v/>
      </c>
      <c r="K44" s="75" t="n"/>
      <c r="L44" s="74" t="n"/>
      <c r="M44" s="74">
        <f>IFERROR(IF(L44&gt;0,K44/L44,"-"),"-")</f>
        <v/>
      </c>
      <c r="N44" s="75" t="n"/>
      <c r="O44" s="74" t="n"/>
      <c r="P44" s="74">
        <f>IFERROR(IF(O44&gt;0,N44/O44,"-"),"-")</f>
        <v/>
      </c>
      <c r="Q44" s="75" t="n"/>
      <c r="R44" s="74" t="n">
        <v>2</v>
      </c>
      <c r="S44" s="74">
        <f>IFERROR(IF(R44&gt;0,Q44/R44,"-"),"-")</f>
        <v/>
      </c>
      <c r="T44" s="75" t="n"/>
      <c r="U44" s="74" t="n">
        <v>5</v>
      </c>
      <c r="V44" s="74">
        <f>IFERROR(IF(U44&gt;0,T44/U44,"-"),"-")</f>
        <v/>
      </c>
      <c r="W44" s="75" t="n">
        <v>1</v>
      </c>
      <c r="X44" s="74" t="n">
        <v>1</v>
      </c>
      <c r="Y44" s="74">
        <f>IFERROR(IF(X44&gt;0,W44/X44,"-"),"-")</f>
        <v/>
      </c>
      <c r="Z44" s="75" t="n"/>
      <c r="AA44" s="74" t="n">
        <v>5</v>
      </c>
      <c r="AB44" s="74">
        <f>IFERROR(IF(AA44&gt;0,Z44/AA44,"-"),"-")</f>
        <v/>
      </c>
      <c r="AC44" s="75" t="n"/>
      <c r="AD44" s="74" t="n">
        <v>4</v>
      </c>
      <c r="AE44" s="74">
        <f>IFERROR(IF(AD44&gt;0,AC44/AD44,"-"),"-")</f>
        <v/>
      </c>
      <c r="AF44" s="75" t="n"/>
      <c r="AG44" s="74" t="n"/>
      <c r="AH44" s="74">
        <f>IFERROR(IF(AG44&gt;0,AF44/AG44,"-"),"-")</f>
        <v/>
      </c>
      <c r="AI44" s="75" t="n"/>
      <c r="AJ44" s="74" t="n">
        <v>1</v>
      </c>
      <c r="AK44" s="74">
        <f>IFERROR(IF(AJ44&gt;0,AI44/AJ44,"-"),"-")</f>
        <v/>
      </c>
      <c r="AL44" s="75" t="n"/>
      <c r="AM44" s="74" t="n"/>
      <c r="AN44" s="74">
        <f>IFERROR(IF(AM44&gt;0,AL44/AM44,"-"),"-")</f>
        <v/>
      </c>
      <c r="AO44" s="75" t="n"/>
      <c r="AP44" s="74" t="n"/>
      <c r="AQ44" s="74">
        <f>IFERROR(IF(AP44&gt;0,AO44/AP44,"-"),"-")</f>
        <v/>
      </c>
      <c r="AR44" s="75" t="n"/>
      <c r="AS44" s="60" t="n"/>
      <c r="AT44" s="60" t="n"/>
    </row>
    <row r="45" ht="15" customHeight="1">
      <c r="A45" s="70" t="n">
        <v>36</v>
      </c>
      <c r="B45" s="71" t="inlineStr">
        <is>
          <t>Dakhoon Collection</t>
        </is>
      </c>
      <c r="C45" s="70" t="inlineStr">
        <is>
          <t>D00005</t>
        </is>
      </c>
      <c r="D45" s="71" t="inlineStr">
        <is>
          <t>Dakhoon Al Barzah</t>
        </is>
      </c>
      <c r="E45" s="70" t="n">
        <v>1</v>
      </c>
      <c r="F45" s="72">
        <f>SUM(I45:AP45)</f>
        <v/>
      </c>
      <c r="G45" s="72">
        <f>SUM(J45:AQ45)</f>
        <v/>
      </c>
      <c r="H45" s="73">
        <f>IFERROR(IF(G45&gt;0,F45/G45,"-"),"-")</f>
        <v/>
      </c>
      <c r="I45" s="74" t="n">
        <v>1</v>
      </c>
      <c r="J45" s="74">
        <f>IFERROR(IF(I45&gt;0,H45/I45,"-"),"-")</f>
        <v/>
      </c>
      <c r="K45" s="75" t="n">
        <v>1</v>
      </c>
      <c r="L45" s="74" t="n"/>
      <c r="M45" s="74">
        <f>IFERROR(IF(L45&gt;0,K45/L45,"-"),"-")</f>
        <v/>
      </c>
      <c r="N45" s="75" t="n"/>
      <c r="O45" s="74" t="n"/>
      <c r="P45" s="74">
        <f>IFERROR(IF(O45&gt;0,N45/O45,"-"),"-")</f>
        <v/>
      </c>
      <c r="Q45" s="75" t="n"/>
      <c r="R45" s="74" t="n">
        <v>2</v>
      </c>
      <c r="S45" s="74">
        <f>IFERROR(IF(R45&gt;0,Q45/R45,"-"),"-")</f>
        <v/>
      </c>
      <c r="T45" s="75" t="n"/>
      <c r="U45" s="74" t="n"/>
      <c r="V45" s="74">
        <f>IFERROR(IF(U45&gt;0,T45/U45,"-"),"-")</f>
        <v/>
      </c>
      <c r="W45" s="75" t="n"/>
      <c r="X45" s="74" t="n">
        <v>2</v>
      </c>
      <c r="Y45" s="74">
        <f>IFERROR(IF(X45&gt;0,W45/X45,"-"),"-")</f>
        <v/>
      </c>
      <c r="Z45" s="75" t="n"/>
      <c r="AA45" s="74" t="n">
        <v>1</v>
      </c>
      <c r="AB45" s="74">
        <f>IFERROR(IF(AA45&gt;0,Z45/AA45,"-"),"-")</f>
        <v/>
      </c>
      <c r="AC45" s="75" t="n"/>
      <c r="AD45" s="74" t="n">
        <v>2</v>
      </c>
      <c r="AE45" s="74">
        <f>IFERROR(IF(AD45&gt;0,AC45/AD45,"-"),"-")</f>
        <v/>
      </c>
      <c r="AF45" s="75" t="n"/>
      <c r="AG45" s="74" t="n"/>
      <c r="AH45" s="74">
        <f>IFERROR(IF(AG45&gt;0,AF45/AG45,"-"),"-")</f>
        <v/>
      </c>
      <c r="AI45" s="75" t="n"/>
      <c r="AJ45" s="74" t="n">
        <v>2</v>
      </c>
      <c r="AK45" s="74">
        <f>IFERROR(IF(AJ45&gt;0,AI45/AJ45,"-"),"-")</f>
        <v/>
      </c>
      <c r="AL45" s="75" t="n">
        <v>1</v>
      </c>
      <c r="AM45" s="74" t="n"/>
      <c r="AN45" s="74">
        <f>IFERROR(IF(AM45&gt;0,AL45/AM45,"-"),"-")</f>
        <v/>
      </c>
      <c r="AO45" s="75" t="n"/>
      <c r="AP45" s="74" t="n"/>
      <c r="AQ45" s="74">
        <f>IFERROR(IF(AP45&gt;0,AO45/AP45,"-"),"-")</f>
        <v/>
      </c>
      <c r="AR45" s="75" t="n"/>
      <c r="AS45" s="60" t="n"/>
      <c r="AT45" s="60" t="n"/>
    </row>
    <row r="46" ht="15" customHeight="1">
      <c r="A46" s="70" t="n">
        <v>37</v>
      </c>
      <c r="B46" s="71" t="inlineStr">
        <is>
          <t>Dakhoon Collection</t>
        </is>
      </c>
      <c r="C46" s="70" t="inlineStr">
        <is>
          <t>D00008</t>
        </is>
      </c>
      <c r="D46" s="71" t="inlineStr">
        <is>
          <t>Dakhoon Retaj</t>
        </is>
      </c>
      <c r="E46" s="70" t="n"/>
      <c r="F46" s="72">
        <f>SUM(I46:AP46)</f>
        <v/>
      </c>
      <c r="G46" s="72">
        <f>SUM(J46:AQ46)</f>
        <v/>
      </c>
      <c r="H46" s="73">
        <f>IFERROR(IF(G46&gt;0,F46/G46,"-"),"-")</f>
        <v/>
      </c>
      <c r="I46" s="74" t="n"/>
      <c r="J46" s="74">
        <f>IFERROR(IF(I46&gt;0,H46/I46,"-"),"-")</f>
        <v/>
      </c>
      <c r="K46" s="75" t="n"/>
      <c r="L46" s="74" t="n"/>
      <c r="M46" s="74">
        <f>IFERROR(IF(L46&gt;0,K46/L46,"-"),"-")</f>
        <v/>
      </c>
      <c r="N46" s="75" t="n"/>
      <c r="O46" s="74" t="n">
        <v>2</v>
      </c>
      <c r="P46" s="74">
        <f>IFERROR(IF(O46&gt;0,N46/O46,"-"),"-")</f>
        <v/>
      </c>
      <c r="Q46" s="75" t="n"/>
      <c r="R46" s="74" t="n">
        <v>1</v>
      </c>
      <c r="S46" s="74">
        <f>IFERROR(IF(R46&gt;0,Q46/R46,"-"),"-")</f>
        <v/>
      </c>
      <c r="T46" s="75" t="n"/>
      <c r="U46" s="74" t="n">
        <v>5</v>
      </c>
      <c r="V46" s="74">
        <f>IFERROR(IF(U46&gt;0,T46/U46,"-"),"-")</f>
        <v/>
      </c>
      <c r="W46" s="75" t="n">
        <v>1</v>
      </c>
      <c r="X46" s="74" t="n">
        <v>2</v>
      </c>
      <c r="Y46" s="74">
        <f>IFERROR(IF(X46&gt;0,W46/X46,"-"),"-")</f>
        <v/>
      </c>
      <c r="Z46" s="75" t="n"/>
      <c r="AA46" s="74" t="n">
        <v>4</v>
      </c>
      <c r="AB46" s="74">
        <f>IFERROR(IF(AA46&gt;0,Z46/AA46,"-"),"-")</f>
        <v/>
      </c>
      <c r="AC46" s="75" t="n"/>
      <c r="AD46" s="74" t="n">
        <v>3</v>
      </c>
      <c r="AE46" s="74">
        <f>IFERROR(IF(AD46&gt;0,AC46/AD46,"-"),"-")</f>
        <v/>
      </c>
      <c r="AF46" s="75" t="n"/>
      <c r="AG46" s="74" t="n"/>
      <c r="AH46" s="74">
        <f>IFERROR(IF(AG46&gt;0,AF46/AG46,"-"),"-")</f>
        <v/>
      </c>
      <c r="AI46" s="75" t="n"/>
      <c r="AJ46" s="74" t="n"/>
      <c r="AK46" s="74">
        <f>IFERROR(IF(AJ46&gt;0,AI46/AJ46,"-"),"-")</f>
        <v/>
      </c>
      <c r="AL46" s="75" t="n"/>
      <c r="AM46" s="74" t="n"/>
      <c r="AN46" s="74">
        <f>IFERROR(IF(AM46&gt;0,AL46/AM46,"-"),"-")</f>
        <v/>
      </c>
      <c r="AO46" s="75" t="n"/>
      <c r="AP46" s="74" t="n">
        <v>1</v>
      </c>
      <c r="AQ46" s="74">
        <f>IFERROR(IF(AP46&gt;0,AO46/AP46,"-"),"-")</f>
        <v/>
      </c>
      <c r="AR46" s="75" t="n"/>
      <c r="AS46" s="60" t="n"/>
      <c r="AT46" s="60" t="n"/>
    </row>
    <row r="47" ht="15" customHeight="1">
      <c r="A47" s="76" t="inlineStr">
        <is>
          <t xml:space="preserve">  OUD COLLECTION</t>
        </is>
      </c>
      <c r="B47" s="77" t="n"/>
      <c r="C47" s="77" t="n"/>
      <c r="D47" s="77" t="n"/>
      <c r="E47" s="77" t="n">
        <v>5</v>
      </c>
      <c r="F47" s="72">
        <f>SUM(I47:AP47)</f>
        <v/>
      </c>
      <c r="G47" s="72">
        <f>SUM(J47:AQ47)</f>
        <v/>
      </c>
      <c r="H47" s="73">
        <f>IFERROR(IF(G47&gt;0,F47/G47,"-"),"-")</f>
        <v/>
      </c>
      <c r="I47" s="74" t="n">
        <v>27</v>
      </c>
      <c r="J47" s="74">
        <f>IFERROR(IF(I47&gt;0,H47/I47,"-"),"-")</f>
        <v/>
      </c>
      <c r="K47" s="75" t="n">
        <v>5</v>
      </c>
      <c r="L47" s="74" t="n">
        <v>61</v>
      </c>
      <c r="M47" s="74">
        <f>IFERROR(IF(L47&gt;0,K47/L47,"-"),"-")</f>
        <v/>
      </c>
      <c r="N47" s="75" t="n">
        <v>3</v>
      </c>
      <c r="O47" s="74" t="n">
        <v>18</v>
      </c>
      <c r="P47" s="74">
        <f>IFERROR(IF(O47&gt;0,N47/O47,"-"),"-")</f>
        <v/>
      </c>
      <c r="Q47" s="75" t="n">
        <v>3</v>
      </c>
      <c r="R47" s="74" t="n">
        <v>44</v>
      </c>
      <c r="S47" s="74">
        <f>IFERROR(IF(R47&gt;0,Q47/R47,"-"),"-")</f>
        <v/>
      </c>
      <c r="T47" s="75" t="n">
        <v>4</v>
      </c>
      <c r="U47" s="74" t="n">
        <v>81</v>
      </c>
      <c r="V47" s="74">
        <f>IFERROR(IF(U47&gt;0,T47/U47,"-"),"-")</f>
        <v/>
      </c>
      <c r="W47" s="75" t="n">
        <v>5</v>
      </c>
      <c r="X47" s="74" t="n">
        <v>65</v>
      </c>
      <c r="Y47" s="74">
        <f>IFERROR(IF(X47&gt;0,W47/X47,"-"),"-")</f>
        <v/>
      </c>
      <c r="Z47" s="75" t="n">
        <v>6</v>
      </c>
      <c r="AA47" s="74" t="n">
        <v>116</v>
      </c>
      <c r="AB47" s="74">
        <f>IFERROR(IF(AA47&gt;0,Z47/AA47,"-"),"-")</f>
        <v/>
      </c>
      <c r="AC47" s="75" t="n">
        <v>6</v>
      </c>
      <c r="AD47" s="74" t="n"/>
      <c r="AE47" s="74">
        <f>IFERROR(IF(AD47&gt;0,AC47/AD47,"-"),"-")</f>
        <v/>
      </c>
      <c r="AF47" s="75" t="n">
        <v>1</v>
      </c>
      <c r="AG47" s="74" t="n">
        <v>6</v>
      </c>
      <c r="AH47" s="74">
        <f>IFERROR(IF(AG47&gt;0,AF47/AG47,"-"),"-")</f>
        <v/>
      </c>
      <c r="AI47" s="75" t="n">
        <v>5</v>
      </c>
      <c r="AJ47" s="74" t="n">
        <v>47</v>
      </c>
      <c r="AK47" s="74">
        <f>IFERROR(IF(AJ47&gt;0,AI47/AJ47,"-"),"-")</f>
        <v/>
      </c>
      <c r="AL47" s="75" t="n">
        <v>2</v>
      </c>
      <c r="AM47" s="74" t="n">
        <v>24</v>
      </c>
      <c r="AN47" s="74">
        <f>IFERROR(IF(AM47&gt;0,AL47/AM47,"-"),"-")</f>
        <v/>
      </c>
      <c r="AO47" s="75" t="n">
        <v>3</v>
      </c>
      <c r="AP47" s="74" t="n">
        <v>47</v>
      </c>
      <c r="AQ47" s="74">
        <f>IFERROR(IF(AP47&gt;0,AO47/AP47,"-"),"-")</f>
        <v/>
      </c>
      <c r="AR47" s="75" t="n">
        <v>5</v>
      </c>
      <c r="AS47" s="59" t="n"/>
      <c r="AT47" s="59" t="n"/>
    </row>
    <row r="48" ht="15" customHeight="1">
      <c r="A48" s="70" t="n">
        <v>38</v>
      </c>
      <c r="B48" s="71" t="inlineStr">
        <is>
          <t>Oud Collection</t>
        </is>
      </c>
      <c r="C48" s="70" t="inlineStr">
        <is>
          <t>O00001</t>
        </is>
      </c>
      <c r="D48" s="71" t="inlineStr">
        <is>
          <t>Oud Amiri</t>
        </is>
      </c>
      <c r="E48" s="70" t="n"/>
      <c r="F48" s="72">
        <f>SUM(I48:AP48)</f>
        <v/>
      </c>
      <c r="G48" s="72">
        <f>SUM(J48:AQ48)</f>
        <v/>
      </c>
      <c r="H48" s="73">
        <f>IFERROR(IF(G48&gt;0,F48/G48,"-"),"-")</f>
        <v/>
      </c>
      <c r="I48" s="74" t="n"/>
      <c r="J48" s="74">
        <f>IFERROR(IF(I48&gt;0,H48/I48,"-"),"-")</f>
        <v/>
      </c>
      <c r="K48" s="75" t="n">
        <v>1</v>
      </c>
      <c r="L48" s="74" t="n"/>
      <c r="M48" s="74">
        <f>IFERROR(IF(L48&gt;0,K48/L48,"-"),"-")</f>
        <v/>
      </c>
      <c r="N48" s="75" t="n"/>
      <c r="O48" s="74" t="n"/>
      <c r="P48" s="74">
        <f>IFERROR(IF(O48&gt;0,N48/O48,"-"),"-")</f>
        <v/>
      </c>
      <c r="Q48" s="75" t="n"/>
      <c r="R48" s="74" t="n">
        <v>3</v>
      </c>
      <c r="S48" s="74">
        <f>IFERROR(IF(R48&gt;0,Q48/R48,"-"),"-")</f>
        <v/>
      </c>
      <c r="T48" s="75" t="n"/>
      <c r="U48" s="74" t="n"/>
      <c r="V48" s="74">
        <f>IFERROR(IF(U48&gt;0,T48/U48,"-"),"-")</f>
        <v/>
      </c>
      <c r="W48" s="75" t="n"/>
      <c r="X48" s="74" t="n">
        <v>1</v>
      </c>
      <c r="Y48" s="74">
        <f>IFERROR(IF(X48&gt;0,W48/X48,"-"),"-")</f>
        <v/>
      </c>
      <c r="Z48" s="75" t="n"/>
      <c r="AA48" s="74" t="n">
        <v>1</v>
      </c>
      <c r="AB48" s="74">
        <f>IFERROR(IF(AA48&gt;0,Z48/AA48,"-"),"-")</f>
        <v/>
      </c>
      <c r="AC48" s="75" t="n"/>
      <c r="AD48" s="74" t="n">
        <v>3</v>
      </c>
      <c r="AE48" s="74">
        <f>IFERROR(IF(AD48&gt;0,AC48/AD48,"-"),"-")</f>
        <v/>
      </c>
      <c r="AF48" s="75" t="n"/>
      <c r="AG48" s="74" t="n"/>
      <c r="AH48" s="74">
        <f>IFERROR(IF(AG48&gt;0,AF48/AG48,"-"),"-")</f>
        <v/>
      </c>
      <c r="AI48" s="75" t="n">
        <v>1</v>
      </c>
      <c r="AJ48" s="74" t="n"/>
      <c r="AK48" s="74">
        <f>IFERROR(IF(AJ48&gt;0,AI48/AJ48,"-"),"-")</f>
        <v/>
      </c>
      <c r="AL48" s="75" t="n"/>
      <c r="AM48" s="74" t="n"/>
      <c r="AN48" s="74">
        <f>IFERROR(IF(AM48&gt;0,AL48/AM48,"-"),"-")</f>
        <v/>
      </c>
      <c r="AO48" s="75" t="n"/>
      <c r="AP48" s="74" t="n">
        <v>1</v>
      </c>
      <c r="AQ48" s="74">
        <f>IFERROR(IF(AP48&gt;0,AO48/AP48,"-"),"-")</f>
        <v/>
      </c>
      <c r="AR48" s="75" t="n"/>
      <c r="AS48" s="60" t="n"/>
      <c r="AT48" s="60" t="n"/>
    </row>
    <row r="49" ht="15" customHeight="1">
      <c r="A49" s="70" t="n">
        <v>39</v>
      </c>
      <c r="B49" s="71" t="inlineStr">
        <is>
          <t>Oud Collection</t>
        </is>
      </c>
      <c r="C49" s="70" t="inlineStr">
        <is>
          <t>O00002</t>
        </is>
      </c>
      <c r="D49" s="71" t="inlineStr">
        <is>
          <t>Oud Meydan</t>
        </is>
      </c>
      <c r="E49" s="70" t="n"/>
      <c r="F49" s="72">
        <f>SUM(I49:AP49)</f>
        <v/>
      </c>
      <c r="G49" s="72">
        <f>SUM(J49:AQ49)</f>
        <v/>
      </c>
      <c r="H49" s="73">
        <f>IFERROR(IF(G49&gt;0,F49/G49,"-"),"-")</f>
        <v/>
      </c>
      <c r="I49" s="74" t="n"/>
      <c r="J49" s="74">
        <f>IFERROR(IF(I49&gt;0,H49/I49,"-"),"-")</f>
        <v/>
      </c>
      <c r="K49" s="75" t="n"/>
      <c r="L49" s="74" t="n"/>
      <c r="M49" s="74">
        <f>IFERROR(IF(L49&gt;0,K49/L49,"-"),"-")</f>
        <v/>
      </c>
      <c r="N49" s="75" t="n"/>
      <c r="O49" s="74" t="n"/>
      <c r="P49" s="74">
        <f>IFERROR(IF(O49&gt;0,N49/O49,"-"),"-")</f>
        <v/>
      </c>
      <c r="Q49" s="75" t="n"/>
      <c r="R49" s="74" t="n">
        <v>1</v>
      </c>
      <c r="S49" s="74">
        <f>IFERROR(IF(R49&gt;0,Q49/R49,"-"),"-")</f>
        <v/>
      </c>
      <c r="T49" s="75" t="n"/>
      <c r="U49" s="74" t="n"/>
      <c r="V49" s="74">
        <f>IFERROR(IF(U49&gt;0,T49/U49,"-"),"-")</f>
        <v/>
      </c>
      <c r="W49" s="75" t="n">
        <v>1</v>
      </c>
      <c r="X49" s="74" t="n"/>
      <c r="Y49" s="74">
        <f>IFERROR(IF(X49&gt;0,W49/X49,"-"),"-")</f>
        <v/>
      </c>
      <c r="Z49" s="75" t="n">
        <v>1</v>
      </c>
      <c r="AA49" s="74" t="n"/>
      <c r="AB49" s="74">
        <f>IFERROR(IF(AA49&gt;0,Z49/AA49,"-"),"-")</f>
        <v/>
      </c>
      <c r="AC49" s="75" t="n"/>
      <c r="AD49" s="74" t="n"/>
      <c r="AE49" s="74">
        <f>IFERROR(IF(AD49&gt;0,AC49/AD49,"-"),"-")</f>
        <v/>
      </c>
      <c r="AF49" s="75" t="n"/>
      <c r="AG49" s="74" t="n"/>
      <c r="AH49" s="74">
        <f>IFERROR(IF(AG49&gt;0,AF49/AG49,"-"),"-")</f>
        <v/>
      </c>
      <c r="AI49" s="75" t="n"/>
      <c r="AJ49" s="74" t="n"/>
      <c r="AK49" s="74">
        <f>IFERROR(IF(AJ49&gt;0,AI49/AJ49,"-"),"-")</f>
        <v/>
      </c>
      <c r="AL49" s="75" t="n"/>
      <c r="AM49" s="74" t="n"/>
      <c r="AN49" s="74">
        <f>IFERROR(IF(AM49&gt;0,AL49/AM49,"-"),"-")</f>
        <v/>
      </c>
      <c r="AO49" s="75" t="n"/>
      <c r="AP49" s="74" t="n"/>
      <c r="AQ49" s="74">
        <f>IFERROR(IF(AP49&gt;0,AO49/AP49,"-"),"-")</f>
        <v/>
      </c>
      <c r="AR49" s="75" t="n"/>
      <c r="AS49" s="60" t="n"/>
      <c r="AT49" s="60" t="n"/>
    </row>
    <row r="50" ht="15" customHeight="1">
      <c r="A50" s="70" t="n">
        <v>40</v>
      </c>
      <c r="B50" s="71" t="inlineStr">
        <is>
          <t>Oud Collection</t>
        </is>
      </c>
      <c r="C50" s="70" t="inlineStr">
        <is>
          <t>O00003</t>
        </is>
      </c>
      <c r="D50" s="71" t="inlineStr">
        <is>
          <t>Oud Al Emarat</t>
        </is>
      </c>
      <c r="E50" s="70" t="n"/>
      <c r="F50" s="72">
        <f>SUM(I50:AP50)</f>
        <v/>
      </c>
      <c r="G50" s="72">
        <f>SUM(J50:AQ50)</f>
        <v/>
      </c>
      <c r="H50" s="73">
        <f>IFERROR(IF(G50&gt;0,F50/G50,"-"),"-")</f>
        <v/>
      </c>
      <c r="I50" s="74" t="n"/>
      <c r="J50" s="74">
        <f>IFERROR(IF(I50&gt;0,H50/I50,"-"),"-")</f>
        <v/>
      </c>
      <c r="K50" s="75" t="n"/>
      <c r="L50" s="74" t="n"/>
      <c r="M50" s="74">
        <f>IFERROR(IF(L50&gt;0,K50/L50,"-"),"-")</f>
        <v/>
      </c>
      <c r="N50" s="75" t="n"/>
      <c r="O50" s="74" t="n"/>
      <c r="P50" s="74">
        <f>IFERROR(IF(O50&gt;0,N50/O50,"-"),"-")</f>
        <v/>
      </c>
      <c r="Q50" s="75" t="n"/>
      <c r="R50" s="74" t="n"/>
      <c r="S50" s="74">
        <f>IFERROR(IF(R50&gt;0,Q50/R50,"-"),"-")</f>
        <v/>
      </c>
      <c r="T50" s="75" t="n">
        <v>1</v>
      </c>
      <c r="U50" s="74" t="n">
        <v>2</v>
      </c>
      <c r="V50" s="74">
        <f>IFERROR(IF(U50&gt;0,T50/U50,"-"),"-")</f>
        <v/>
      </c>
      <c r="W50" s="75" t="n">
        <v>1</v>
      </c>
      <c r="X50" s="74" t="n">
        <v>2</v>
      </c>
      <c r="Y50" s="74">
        <f>IFERROR(IF(X50&gt;0,W50/X50,"-"),"-")</f>
        <v/>
      </c>
      <c r="Z50" s="75" t="n">
        <v>2</v>
      </c>
      <c r="AA50" s="74" t="n">
        <v>3</v>
      </c>
      <c r="AB50" s="74">
        <f>IFERROR(IF(AA50&gt;0,Z50/AA50,"-"),"-")</f>
        <v/>
      </c>
      <c r="AC50" s="75" t="n">
        <v>1</v>
      </c>
      <c r="AD50" s="74" t="n">
        <v>2</v>
      </c>
      <c r="AE50" s="74">
        <f>IFERROR(IF(AD50&gt;0,AC50/AD50,"-"),"-")</f>
        <v/>
      </c>
      <c r="AF50" s="75" t="n"/>
      <c r="AG50" s="74" t="n"/>
      <c r="AH50" s="74">
        <f>IFERROR(IF(AG50&gt;0,AF50/AG50,"-"),"-")</f>
        <v/>
      </c>
      <c r="AI50" s="75" t="n"/>
      <c r="AJ50" s="74" t="n"/>
      <c r="AK50" s="74">
        <f>IFERROR(IF(AJ50&gt;0,AI50/AJ50,"-"),"-")</f>
        <v/>
      </c>
      <c r="AL50" s="75" t="n"/>
      <c r="AM50" s="74" t="n"/>
      <c r="AN50" s="74">
        <f>IFERROR(IF(AM50&gt;0,AL50/AM50,"-"),"-")</f>
        <v/>
      </c>
      <c r="AO50" s="75" t="n"/>
      <c r="AP50" s="74" t="n"/>
      <c r="AQ50" s="74">
        <f>IFERROR(IF(AP50&gt;0,AO50/AP50,"-"),"-")</f>
        <v/>
      </c>
      <c r="AR50" s="75" t="n">
        <v>1</v>
      </c>
      <c r="AS50" s="60" t="n"/>
      <c r="AT50" s="60" t="n"/>
    </row>
    <row r="51" ht="15" customHeight="1">
      <c r="A51" s="70" t="n">
        <v>41</v>
      </c>
      <c r="B51" s="71" t="inlineStr">
        <is>
          <t>Oud Collection</t>
        </is>
      </c>
      <c r="C51" s="70" t="inlineStr">
        <is>
          <t>O00006</t>
        </is>
      </c>
      <c r="D51" s="71" t="inlineStr">
        <is>
          <t>Oud Al Fakhamah</t>
        </is>
      </c>
      <c r="E51" s="70" t="n"/>
      <c r="F51" s="72">
        <f>SUM(I51:AP51)</f>
        <v/>
      </c>
      <c r="G51" s="72">
        <f>SUM(J51:AQ51)</f>
        <v/>
      </c>
      <c r="H51" s="73">
        <f>IFERROR(IF(G51&gt;0,F51/G51,"-"),"-")</f>
        <v/>
      </c>
      <c r="I51" s="74" t="n"/>
      <c r="J51" s="74">
        <f>IFERROR(IF(I51&gt;0,H51/I51,"-"),"-")</f>
        <v/>
      </c>
      <c r="K51" s="75" t="n">
        <v>1</v>
      </c>
      <c r="L51" s="74" t="n"/>
      <c r="M51" s="74">
        <f>IFERROR(IF(L51&gt;0,K51/L51,"-"),"-")</f>
        <v/>
      </c>
      <c r="N51" s="75" t="n"/>
      <c r="O51" s="74" t="n">
        <v>3</v>
      </c>
      <c r="P51" s="74">
        <f>IFERROR(IF(O51&gt;0,N51/O51,"-"),"-")</f>
        <v/>
      </c>
      <c r="Q51" s="75" t="n"/>
      <c r="R51" s="74" t="n">
        <v>2</v>
      </c>
      <c r="S51" s="74">
        <f>IFERROR(IF(R51&gt;0,Q51/R51,"-"),"-")</f>
        <v/>
      </c>
      <c r="T51" s="75" t="n">
        <v>1</v>
      </c>
      <c r="U51" s="74" t="n">
        <v>3</v>
      </c>
      <c r="V51" s="74">
        <f>IFERROR(IF(U51&gt;0,T51/U51,"-"),"-")</f>
        <v/>
      </c>
      <c r="W51" s="75" t="n">
        <v>2</v>
      </c>
      <c r="X51" s="74" t="n"/>
      <c r="Y51" s="74">
        <f>IFERROR(IF(X51&gt;0,W51/X51,"-"),"-")</f>
        <v/>
      </c>
      <c r="Z51" s="75" t="n">
        <v>1</v>
      </c>
      <c r="AA51" s="74" t="n">
        <v>2</v>
      </c>
      <c r="AB51" s="74">
        <f>IFERROR(IF(AA51&gt;0,Z51/AA51,"-"),"-")</f>
        <v/>
      </c>
      <c r="AC51" s="75" t="n"/>
      <c r="AD51" s="74" t="n">
        <v>1</v>
      </c>
      <c r="AE51" s="74">
        <f>IFERROR(IF(AD51&gt;0,AC51/AD51,"-"),"-")</f>
        <v/>
      </c>
      <c r="AF51" s="75" t="n"/>
      <c r="AG51" s="74" t="n"/>
      <c r="AH51" s="74">
        <f>IFERROR(IF(AG51&gt;0,AF51/AG51,"-"),"-")</f>
        <v/>
      </c>
      <c r="AI51" s="75" t="n"/>
      <c r="AJ51" s="74" t="n"/>
      <c r="AK51" s="74">
        <f>IFERROR(IF(AJ51&gt;0,AI51/AJ51,"-"),"-")</f>
        <v/>
      </c>
      <c r="AL51" s="75" t="n"/>
      <c r="AM51" s="74" t="n"/>
      <c r="AN51" s="74">
        <f>IFERROR(IF(AM51&gt;0,AL51/AM51,"-"),"-")</f>
        <v/>
      </c>
      <c r="AO51" s="75" t="n"/>
      <c r="AP51" s="74" t="n">
        <v>6</v>
      </c>
      <c r="AQ51" s="74">
        <f>IFERROR(IF(AP51&gt;0,AO51/AP51,"-"),"-")</f>
        <v/>
      </c>
      <c r="AR51" s="75" t="n"/>
      <c r="AS51" s="60" t="n"/>
      <c r="AT51" s="60" t="n"/>
    </row>
    <row r="52" ht="15" customHeight="1">
      <c r="A52" s="76" t="inlineStr">
        <is>
          <t xml:space="preserve">  FUTURE COLLECTION</t>
        </is>
      </c>
      <c r="B52" s="77" t="n"/>
      <c r="C52" s="77" t="n"/>
      <c r="D52" s="77" t="n"/>
      <c r="E52" s="77" t="n"/>
      <c r="F52" s="72">
        <f>SUM(I52:AP52)</f>
        <v/>
      </c>
      <c r="G52" s="72">
        <f>SUM(J52:AQ52)</f>
        <v/>
      </c>
      <c r="H52" s="73">
        <f>IFERROR(IF(G52&gt;0,F52/G52,"-"),"-")</f>
        <v/>
      </c>
      <c r="I52" s="74" t="n"/>
      <c r="J52" s="74">
        <f>IFERROR(IF(I52&gt;0,H52/I52,"-"),"-")</f>
        <v/>
      </c>
      <c r="K52" s="75" t="n">
        <v>1</v>
      </c>
      <c r="L52" s="74" t="n"/>
      <c r="M52" s="74">
        <f>IFERROR(IF(L52&gt;0,K52/L52,"-"),"-")</f>
        <v/>
      </c>
      <c r="N52" s="75" t="n"/>
      <c r="O52" s="74" t="n"/>
      <c r="P52" s="74">
        <f>IFERROR(IF(O52&gt;0,N52/O52,"-"),"-")</f>
        <v/>
      </c>
      <c r="Q52" s="75" t="n"/>
      <c r="R52" s="74" t="n"/>
      <c r="S52" s="74">
        <f>IFERROR(IF(R52&gt;0,Q52/R52,"-"),"-")</f>
        <v/>
      </c>
      <c r="T52" s="75" t="n"/>
      <c r="U52" s="74" t="n"/>
      <c r="V52" s="74">
        <f>IFERROR(IF(U52&gt;0,T52/U52,"-"),"-")</f>
        <v/>
      </c>
      <c r="W52" s="75" t="n"/>
      <c r="X52" s="74" t="n"/>
      <c r="Y52" s="74">
        <f>IFERROR(IF(X52&gt;0,W52/X52,"-"),"-")</f>
        <v/>
      </c>
      <c r="Z52" s="75" t="n"/>
      <c r="AA52" s="74" t="n">
        <v>1</v>
      </c>
      <c r="AB52" s="74">
        <f>IFERROR(IF(AA52&gt;0,Z52/AA52,"-"),"-")</f>
        <v/>
      </c>
      <c r="AC52" s="75" t="n"/>
      <c r="AD52" s="74" t="n"/>
      <c r="AE52" s="74">
        <f>IFERROR(IF(AD52&gt;0,AC52/AD52,"-"),"-")</f>
        <v/>
      </c>
      <c r="AF52" s="75" t="n"/>
      <c r="AG52" s="74" t="n"/>
      <c r="AH52" s="74">
        <f>IFERROR(IF(AG52&gt;0,AF52/AG52,"-"),"-")</f>
        <v/>
      </c>
      <c r="AI52" s="75" t="n"/>
      <c r="AJ52" s="74" t="n"/>
      <c r="AK52" s="74">
        <f>IFERROR(IF(AJ52&gt;0,AI52/AJ52,"-"),"-")</f>
        <v/>
      </c>
      <c r="AL52" s="75" t="n"/>
      <c r="AM52" s="74" t="n"/>
      <c r="AN52" s="74">
        <f>IFERROR(IF(AM52&gt;0,AL52/AM52,"-"),"-")</f>
        <v/>
      </c>
      <c r="AO52" s="75" t="n"/>
      <c r="AP52" s="74" t="n"/>
      <c r="AQ52" s="74">
        <f>IFERROR(IF(AP52&gt;0,AO52/AP52,"-"),"-")</f>
        <v/>
      </c>
      <c r="AR52" s="75" t="n"/>
      <c r="AS52" s="59" t="n"/>
      <c r="AT52" s="59" t="n"/>
    </row>
    <row r="53" ht="15" customHeight="1">
      <c r="A53" s="70" t="n">
        <v>42</v>
      </c>
      <c r="B53" s="71" t="inlineStr">
        <is>
          <t>Future Collection</t>
        </is>
      </c>
      <c r="C53" s="70" t="inlineStr">
        <is>
          <t>SP0037</t>
        </is>
      </c>
      <c r="D53" s="71" t="inlineStr">
        <is>
          <t>Future Bakhoor 100 ml Perfume</t>
        </is>
      </c>
      <c r="E53" s="70" t="n"/>
      <c r="F53" s="72">
        <f>SUM(I53:AP53)</f>
        <v/>
      </c>
      <c r="G53" s="72">
        <f>SUM(J53:AQ53)</f>
        <v/>
      </c>
      <c r="H53" s="73">
        <f>IFERROR(IF(G53&gt;0,F53/G53,"-"),"-")</f>
        <v/>
      </c>
      <c r="I53" s="74" t="n"/>
      <c r="J53" s="74">
        <f>IFERROR(IF(I53&gt;0,H53/I53,"-"),"-")</f>
        <v/>
      </c>
      <c r="K53" s="75" t="n"/>
      <c r="L53" s="74" t="n"/>
      <c r="M53" s="74">
        <f>IFERROR(IF(L53&gt;0,K53/L53,"-"),"-")</f>
        <v/>
      </c>
      <c r="N53" s="75" t="n"/>
      <c r="O53" s="74" t="n"/>
      <c r="P53" s="74">
        <f>IFERROR(IF(O53&gt;0,N53/O53,"-"),"-")</f>
        <v/>
      </c>
      <c r="Q53" s="75" t="n"/>
      <c r="R53" s="74" t="n"/>
      <c r="S53" s="74">
        <f>IFERROR(IF(R53&gt;0,Q53/R53,"-"),"-")</f>
        <v/>
      </c>
      <c r="T53" s="75" t="n"/>
      <c r="U53" s="74" t="n"/>
      <c r="V53" s="74">
        <f>IFERROR(IF(U53&gt;0,T53/U53,"-"),"-")</f>
        <v/>
      </c>
      <c r="W53" s="75" t="n"/>
      <c r="X53" s="74" t="n"/>
      <c r="Y53" s="74">
        <f>IFERROR(IF(X53&gt;0,W53/X53,"-"),"-")</f>
        <v/>
      </c>
      <c r="Z53" s="75" t="n">
        <v>1</v>
      </c>
      <c r="AA53" s="74" t="n"/>
      <c r="AB53" s="74">
        <f>IFERROR(IF(AA53&gt;0,Z53/AA53,"-"),"-")</f>
        <v/>
      </c>
      <c r="AC53" s="75" t="n"/>
      <c r="AD53" s="74" t="n"/>
      <c r="AE53" s="74">
        <f>IFERROR(IF(AD53&gt;0,AC53/AD53,"-"),"-")</f>
        <v/>
      </c>
      <c r="AF53" s="75" t="n"/>
      <c r="AG53" s="74" t="n"/>
      <c r="AH53" s="74">
        <f>IFERROR(IF(AG53&gt;0,AF53/AG53,"-"),"-")</f>
        <v/>
      </c>
      <c r="AI53" s="75" t="n"/>
      <c r="AJ53" s="74" t="n"/>
      <c r="AK53" s="74">
        <f>IFERROR(IF(AJ53&gt;0,AI53/AJ53,"-"),"-")</f>
        <v/>
      </c>
      <c r="AL53" s="75" t="n"/>
      <c r="AM53" s="74" t="n"/>
      <c r="AN53" s="74">
        <f>IFERROR(IF(AM53&gt;0,AL53/AM53,"-"),"-")</f>
        <v/>
      </c>
      <c r="AO53" s="75" t="n"/>
      <c r="AP53" s="74" t="n"/>
      <c r="AQ53" s="74">
        <f>IFERROR(IF(AP53&gt;0,AO53/AP53,"-"),"-")</f>
        <v/>
      </c>
      <c r="AR53" s="75" t="n"/>
      <c r="AS53" s="60" t="n"/>
      <c r="AT53" s="60" t="n"/>
    </row>
    <row r="54" ht="15" customHeight="1">
      <c r="A54" s="70" t="n">
        <v>43</v>
      </c>
      <c r="B54" s="71" t="inlineStr">
        <is>
          <t>Future Collection</t>
        </is>
      </c>
      <c r="C54" s="70" t="inlineStr">
        <is>
          <t>SP0038</t>
        </is>
      </c>
      <c r="D54" s="71" t="inlineStr">
        <is>
          <t>Future Oud 100 ml Perfume</t>
        </is>
      </c>
      <c r="E54" s="70" t="n"/>
      <c r="F54" s="72">
        <f>SUM(I54:AP54)</f>
        <v/>
      </c>
      <c r="G54" s="72">
        <f>SUM(J54:AQ54)</f>
        <v/>
      </c>
      <c r="H54" s="73">
        <f>IFERROR(IF(G54&gt;0,F54/G54,"-"),"-")</f>
        <v/>
      </c>
      <c r="I54" s="74" t="n"/>
      <c r="J54" s="74">
        <f>IFERROR(IF(I54&gt;0,H54/I54,"-"),"-")</f>
        <v/>
      </c>
      <c r="K54" s="75" t="n"/>
      <c r="L54" s="74" t="n"/>
      <c r="M54" s="74">
        <f>IFERROR(IF(L54&gt;0,K54/L54,"-"),"-")</f>
        <v/>
      </c>
      <c r="N54" s="75" t="n"/>
      <c r="O54" s="74" t="n"/>
      <c r="P54" s="74">
        <f>IFERROR(IF(O54&gt;0,N54/O54,"-"),"-")</f>
        <v/>
      </c>
      <c r="Q54" s="75" t="n">
        <v>1</v>
      </c>
      <c r="R54" s="74" t="n"/>
      <c r="S54" s="74">
        <f>IFERROR(IF(R54&gt;0,Q54/R54,"-"),"-")</f>
        <v/>
      </c>
      <c r="T54" s="75" t="n"/>
      <c r="U54" s="74" t="n"/>
      <c r="V54" s="74">
        <f>IFERROR(IF(U54&gt;0,T54/U54,"-"),"-")</f>
        <v/>
      </c>
      <c r="W54" s="75" t="n"/>
      <c r="X54" s="74" t="n"/>
      <c r="Y54" s="74">
        <f>IFERROR(IF(X54&gt;0,W54/X54,"-"),"-")</f>
        <v/>
      </c>
      <c r="Z54" s="75" t="n"/>
      <c r="AA54" s="74" t="n"/>
      <c r="AB54" s="74">
        <f>IFERROR(IF(AA54&gt;0,Z54/AA54,"-"),"-")</f>
        <v/>
      </c>
      <c r="AC54" s="75" t="n"/>
      <c r="AD54" s="74" t="n"/>
      <c r="AE54" s="74">
        <f>IFERROR(IF(AD54&gt;0,AC54/AD54,"-"),"-")</f>
        <v/>
      </c>
      <c r="AF54" s="75" t="n"/>
      <c r="AG54" s="74" t="n"/>
      <c r="AH54" s="74">
        <f>IFERROR(IF(AG54&gt;0,AF54/AG54,"-"),"-")</f>
        <v/>
      </c>
      <c r="AI54" s="75" t="n"/>
      <c r="AJ54" s="74" t="n"/>
      <c r="AK54" s="74">
        <f>IFERROR(IF(AJ54&gt;0,AI54/AJ54,"-"),"-")</f>
        <v/>
      </c>
      <c r="AL54" s="75" t="n"/>
      <c r="AM54" s="74" t="n"/>
      <c r="AN54" s="74">
        <f>IFERROR(IF(AM54&gt;0,AL54/AM54,"-"),"-")</f>
        <v/>
      </c>
      <c r="AO54" s="75" t="n"/>
      <c r="AP54" s="74" t="n"/>
      <c r="AQ54" s="74">
        <f>IFERROR(IF(AP54&gt;0,AO54/AP54,"-"),"-")</f>
        <v/>
      </c>
      <c r="AR54" s="75" t="n"/>
      <c r="AS54" s="60" t="n"/>
      <c r="AT54" s="60" t="n"/>
    </row>
    <row r="55" ht="15" customHeight="1">
      <c r="A55" s="76" t="inlineStr">
        <is>
          <t xml:space="preserve">  SPECIAL SETS</t>
        </is>
      </c>
      <c r="B55" s="77" t="n"/>
      <c r="C55" s="77" t="n"/>
      <c r="D55" s="77" t="n"/>
      <c r="E55" s="77" t="n"/>
      <c r="F55" s="72">
        <f>SUM(I55:AP55)</f>
        <v/>
      </c>
      <c r="G55" s="72">
        <f>SUM(J55:AQ55)</f>
        <v/>
      </c>
      <c r="H55" s="73">
        <f>IFERROR(IF(G55&gt;0,F55/G55,"-"),"-")</f>
        <v/>
      </c>
      <c r="I55" s="74" t="n">
        <v>1</v>
      </c>
      <c r="J55" s="74">
        <f>IFERROR(IF(I55&gt;0,H55/I55,"-"),"-")</f>
        <v/>
      </c>
      <c r="K55" s="75" t="n">
        <v>1</v>
      </c>
      <c r="L55" s="74" t="n"/>
      <c r="M55" s="74">
        <f>IFERROR(IF(L55&gt;0,K55/L55,"-"),"-")</f>
        <v/>
      </c>
      <c r="N55" s="75" t="n"/>
      <c r="O55" s="74" t="n"/>
      <c r="P55" s="74">
        <f>IFERROR(IF(O55&gt;0,N55/O55,"-"),"-")</f>
        <v/>
      </c>
      <c r="Q55" s="75" t="n"/>
      <c r="R55" s="74" t="n">
        <v>1</v>
      </c>
      <c r="S55" s="74">
        <f>IFERROR(IF(R55&gt;0,Q55/R55,"-"),"-")</f>
        <v/>
      </c>
      <c r="T55" s="75" t="n">
        <v>1</v>
      </c>
      <c r="U55" s="74" t="n"/>
      <c r="V55" s="74">
        <f>IFERROR(IF(U55&gt;0,T55/U55,"-"),"-")</f>
        <v/>
      </c>
      <c r="W55" s="75" t="n"/>
      <c r="X55" s="74" t="n"/>
      <c r="Y55" s="74">
        <f>IFERROR(IF(X55&gt;0,W55/X55,"-"),"-")</f>
        <v/>
      </c>
      <c r="Z55" s="75" t="n">
        <v>1</v>
      </c>
      <c r="AA55" s="74" t="n">
        <v>1</v>
      </c>
      <c r="AB55" s="74">
        <f>IFERROR(IF(AA55&gt;0,Z55/AA55,"-"),"-")</f>
        <v/>
      </c>
      <c r="AC55" s="75" t="n"/>
      <c r="AD55" s="74" t="n">
        <v>2</v>
      </c>
      <c r="AE55" s="74">
        <f>IFERROR(IF(AD55&gt;0,AC55/AD55,"-"),"-")</f>
        <v/>
      </c>
      <c r="AF55" s="75" t="n"/>
      <c r="AG55" s="74" t="n"/>
      <c r="AH55" s="74">
        <f>IFERROR(IF(AG55&gt;0,AF55/AG55,"-"),"-")</f>
        <v/>
      </c>
      <c r="AI55" s="75" t="n"/>
      <c r="AJ55" s="74" t="n"/>
      <c r="AK55" s="74">
        <f>IFERROR(IF(AJ55&gt;0,AI55/AJ55,"-"),"-")</f>
        <v/>
      </c>
      <c r="AL55" s="75" t="n"/>
      <c r="AM55" s="74" t="n"/>
      <c r="AN55" s="74">
        <f>IFERROR(IF(AM55&gt;0,AL55/AM55,"-"),"-")</f>
        <v/>
      </c>
      <c r="AO55" s="75" t="n"/>
      <c r="AP55" s="74" t="n"/>
      <c r="AQ55" s="74">
        <f>IFERROR(IF(AP55&gt;0,AO55/AP55,"-"),"-")</f>
        <v/>
      </c>
      <c r="AR55" s="75" t="n">
        <v>1</v>
      </c>
      <c r="AS55" s="59" t="n"/>
      <c r="AT55" s="59" t="n"/>
    </row>
    <row r="56" ht="15" customHeight="1">
      <c r="A56" s="70" t="n">
        <v>44</v>
      </c>
      <c r="B56" s="71" t="inlineStr">
        <is>
          <t>Special Sets</t>
        </is>
      </c>
      <c r="C56" s="70" t="inlineStr">
        <is>
          <t>SP0001</t>
        </is>
      </c>
      <c r="D56" s="71" t="inlineStr">
        <is>
          <t>White Oud</t>
        </is>
      </c>
      <c r="E56" s="70" t="n">
        <v>3</v>
      </c>
      <c r="F56" s="72">
        <f>SUM(I56:AP56)</f>
        <v/>
      </c>
      <c r="G56" s="72">
        <f>SUM(J56:AQ56)</f>
        <v/>
      </c>
      <c r="H56" s="73">
        <f>IFERROR(IF(G56&gt;0,F56/G56,"-"),"-")</f>
        <v/>
      </c>
      <c r="I56" s="74" t="n">
        <v>2</v>
      </c>
      <c r="J56" s="74">
        <f>IFERROR(IF(I56&gt;0,H56/I56,"-"),"-")</f>
        <v/>
      </c>
      <c r="K56" s="75" t="n"/>
      <c r="L56" s="74" t="n"/>
      <c r="M56" s="74">
        <f>IFERROR(IF(L56&gt;0,K56/L56,"-"),"-")</f>
        <v/>
      </c>
      <c r="N56" s="75" t="n"/>
      <c r="O56" s="74" t="n"/>
      <c r="P56" s="74">
        <f>IFERROR(IF(O56&gt;0,N56/O56,"-"),"-")</f>
        <v/>
      </c>
      <c r="Q56" s="75" t="n"/>
      <c r="R56" s="74" t="n">
        <v>1</v>
      </c>
      <c r="S56" s="74">
        <f>IFERROR(IF(R56&gt;0,Q56/R56,"-"),"-")</f>
        <v/>
      </c>
      <c r="T56" s="75" t="n">
        <v>1</v>
      </c>
      <c r="U56" s="74" t="n"/>
      <c r="V56" s="74">
        <f>IFERROR(IF(U56&gt;0,T56/U56,"-"),"-")</f>
        <v/>
      </c>
      <c r="W56" s="75" t="n">
        <v>1</v>
      </c>
      <c r="X56" s="74" t="n">
        <v>2</v>
      </c>
      <c r="Y56" s="74">
        <f>IFERROR(IF(X56&gt;0,W56/X56,"-"),"-")</f>
        <v/>
      </c>
      <c r="Z56" s="75" t="n">
        <v>3</v>
      </c>
      <c r="AA56" s="74" t="n">
        <v>1</v>
      </c>
      <c r="AB56" s="74">
        <f>IFERROR(IF(AA56&gt;0,Z56/AA56,"-"),"-")</f>
        <v/>
      </c>
      <c r="AC56" s="75" t="n">
        <v>1</v>
      </c>
      <c r="AD56" s="74" t="n">
        <v>2</v>
      </c>
      <c r="AE56" s="74">
        <f>IFERROR(IF(AD56&gt;0,AC56/AD56,"-"),"-")</f>
        <v/>
      </c>
      <c r="AF56" s="75" t="n"/>
      <c r="AG56" s="74" t="n"/>
      <c r="AH56" s="74">
        <f>IFERROR(IF(AG56&gt;0,AF56/AG56,"-"),"-")</f>
        <v/>
      </c>
      <c r="AI56" s="75" t="n"/>
      <c r="AJ56" s="74" t="n"/>
      <c r="AK56" s="74">
        <f>IFERROR(IF(AJ56&gt;0,AI56/AJ56,"-"),"-")</f>
        <v/>
      </c>
      <c r="AL56" s="75" t="n">
        <v>1</v>
      </c>
      <c r="AM56" s="74" t="n">
        <v>1</v>
      </c>
      <c r="AN56" s="74">
        <f>IFERROR(IF(AM56&gt;0,AL56/AM56,"-"),"-")</f>
        <v/>
      </c>
      <c r="AO56" s="75" t="n">
        <v>1</v>
      </c>
      <c r="AP56" s="74" t="n">
        <v>1</v>
      </c>
      <c r="AQ56" s="74">
        <f>IFERROR(IF(AP56&gt;0,AO56/AP56,"-"),"-")</f>
        <v/>
      </c>
      <c r="AR56" s="75" t="n">
        <v>1</v>
      </c>
      <c r="AS56" s="60" t="n"/>
      <c r="AT56" s="60" t="n"/>
    </row>
    <row r="57" ht="15" customHeight="1">
      <c r="A57" s="70" t="n">
        <v>45</v>
      </c>
      <c r="B57" s="71" t="inlineStr">
        <is>
          <t>Special Sets</t>
        </is>
      </c>
      <c r="C57" s="70" t="inlineStr">
        <is>
          <t>SP0005</t>
        </is>
      </c>
      <c r="D57" s="71" t="inlineStr">
        <is>
          <t>No.4</t>
        </is>
      </c>
      <c r="E57" s="70" t="n">
        <v>2</v>
      </c>
      <c r="F57" s="72">
        <f>SUM(I57:AP57)</f>
        <v/>
      </c>
      <c r="G57" s="72">
        <f>SUM(J57:AQ57)</f>
        <v/>
      </c>
      <c r="H57" s="73">
        <f>IFERROR(IF(G57&gt;0,F57/G57,"-"),"-")</f>
        <v/>
      </c>
      <c r="I57" s="74" t="n">
        <v>1</v>
      </c>
      <c r="J57" s="74">
        <f>IFERROR(IF(I57&gt;0,H57/I57,"-"),"-")</f>
        <v/>
      </c>
      <c r="K57" s="75" t="n">
        <v>1</v>
      </c>
      <c r="L57" s="74" t="n"/>
      <c r="M57" s="74">
        <f>IFERROR(IF(L57&gt;0,K57/L57,"-"),"-")</f>
        <v/>
      </c>
      <c r="N57" s="75" t="n">
        <v>1</v>
      </c>
      <c r="O57" s="74" t="n"/>
      <c r="P57" s="74">
        <f>IFERROR(IF(O57&gt;0,N57/O57,"-"),"-")</f>
        <v/>
      </c>
      <c r="Q57" s="75" t="n"/>
      <c r="R57" s="74" t="n">
        <v>4</v>
      </c>
      <c r="S57" s="74">
        <f>IFERROR(IF(R57&gt;0,Q57/R57,"-"),"-")</f>
        <v/>
      </c>
      <c r="T57" s="75" t="n">
        <v>1</v>
      </c>
      <c r="U57" s="74" t="n">
        <v>4</v>
      </c>
      <c r="V57" s="74">
        <f>IFERROR(IF(U57&gt;0,T57/U57,"-"),"-")</f>
        <v/>
      </c>
      <c r="W57" s="75" t="n">
        <v>1</v>
      </c>
      <c r="X57" s="74" t="n">
        <v>3</v>
      </c>
      <c r="Y57" s="74">
        <f>IFERROR(IF(X57&gt;0,W57/X57,"-"),"-")</f>
        <v/>
      </c>
      <c r="Z57" s="75" t="n">
        <v>3</v>
      </c>
      <c r="AA57" s="74" t="n">
        <v>3</v>
      </c>
      <c r="AB57" s="74">
        <f>IFERROR(IF(AA57&gt;0,Z57/AA57,"-"),"-")</f>
        <v/>
      </c>
      <c r="AC57" s="75" t="n">
        <v>1</v>
      </c>
      <c r="AD57" s="74" t="n">
        <v>2</v>
      </c>
      <c r="AE57" s="74">
        <f>IFERROR(IF(AD57&gt;0,AC57/AD57,"-"),"-")</f>
        <v/>
      </c>
      <c r="AF57" s="75" t="n"/>
      <c r="AG57" s="74" t="n"/>
      <c r="AH57" s="74">
        <f>IFERROR(IF(AG57&gt;0,AF57/AG57,"-"),"-")</f>
        <v/>
      </c>
      <c r="AI57" s="75" t="n">
        <v>1</v>
      </c>
      <c r="AJ57" s="74" t="n">
        <v>2</v>
      </c>
      <c r="AK57" s="74">
        <f>IFERROR(IF(AJ57&gt;0,AI57/AJ57,"-"),"-")</f>
        <v/>
      </c>
      <c r="AL57" s="75" t="n"/>
      <c r="AM57" s="74" t="n">
        <v>1</v>
      </c>
      <c r="AN57" s="74">
        <f>IFERROR(IF(AM57&gt;0,AL57/AM57,"-"),"-")</f>
        <v/>
      </c>
      <c r="AO57" s="75" t="n">
        <v>1</v>
      </c>
      <c r="AP57" s="74" t="n"/>
      <c r="AQ57" s="74">
        <f>IFERROR(IF(AP57&gt;0,AO57/AP57,"-"),"-")</f>
        <v/>
      </c>
      <c r="AR57" s="75" t="n">
        <v>1</v>
      </c>
      <c r="AS57" s="60" t="n"/>
      <c r="AT57" s="60" t="n"/>
    </row>
    <row r="58" ht="15" customHeight="1">
      <c r="A58" s="70" t="n">
        <v>46</v>
      </c>
      <c r="B58" s="71" t="inlineStr">
        <is>
          <t>Special Sets</t>
        </is>
      </c>
      <c r="C58" s="70" t="inlineStr">
        <is>
          <t>SP0006</t>
        </is>
      </c>
      <c r="D58" s="71" t="inlineStr">
        <is>
          <t>More Of Oud</t>
        </is>
      </c>
      <c r="E58" s="70" t="n"/>
      <c r="F58" s="72">
        <f>SUM(I58:AP58)</f>
        <v/>
      </c>
      <c r="G58" s="72">
        <f>SUM(J58:AQ58)</f>
        <v/>
      </c>
      <c r="H58" s="73">
        <f>IFERROR(IF(G58&gt;0,F58/G58,"-"),"-")</f>
        <v/>
      </c>
      <c r="I58" s="74" t="n"/>
      <c r="J58" s="74">
        <f>IFERROR(IF(I58&gt;0,H58/I58,"-"),"-")</f>
        <v/>
      </c>
      <c r="K58" s="75" t="n"/>
      <c r="L58" s="74" t="n"/>
      <c r="M58" s="74">
        <f>IFERROR(IF(L58&gt;0,K58/L58,"-"),"-")</f>
        <v/>
      </c>
      <c r="N58" s="75" t="n"/>
      <c r="O58" s="74" t="n"/>
      <c r="P58" s="74">
        <f>IFERROR(IF(O58&gt;0,N58/O58,"-"),"-")</f>
        <v/>
      </c>
      <c r="Q58" s="75" t="n"/>
      <c r="R58" s="74" t="n">
        <v>1</v>
      </c>
      <c r="S58" s="74">
        <f>IFERROR(IF(R58&gt;0,Q58/R58,"-"),"-")</f>
        <v/>
      </c>
      <c r="T58" s="75" t="n">
        <v>1</v>
      </c>
      <c r="U58" s="74" t="n">
        <v>3</v>
      </c>
      <c r="V58" s="74">
        <f>IFERROR(IF(U58&gt;0,T58/U58,"-"),"-")</f>
        <v/>
      </c>
      <c r="W58" s="75" t="n"/>
      <c r="X58" s="74" t="n">
        <v>3</v>
      </c>
      <c r="Y58" s="74">
        <f>IFERROR(IF(X58&gt;0,W58/X58,"-"),"-")</f>
        <v/>
      </c>
      <c r="Z58" s="75" t="n">
        <v>1</v>
      </c>
      <c r="AA58" s="74" t="n">
        <v>5</v>
      </c>
      <c r="AB58" s="74">
        <f>IFERROR(IF(AA58&gt;0,Z58/AA58,"-"),"-")</f>
        <v/>
      </c>
      <c r="AC58" s="75" t="n"/>
      <c r="AD58" s="74" t="n">
        <v>1</v>
      </c>
      <c r="AE58" s="74">
        <f>IFERROR(IF(AD58&gt;0,AC58/AD58,"-"),"-")</f>
        <v/>
      </c>
      <c r="AF58" s="75" t="n"/>
      <c r="AG58" s="74" t="n"/>
      <c r="AH58" s="74">
        <f>IFERROR(IF(AG58&gt;0,AF58/AG58,"-"),"-")</f>
        <v/>
      </c>
      <c r="AI58" s="75" t="n"/>
      <c r="AJ58" s="74" t="n">
        <v>3</v>
      </c>
      <c r="AK58" s="74">
        <f>IFERROR(IF(AJ58&gt;0,AI58/AJ58,"-"),"-")</f>
        <v/>
      </c>
      <c r="AL58" s="75" t="n"/>
      <c r="AM58" s="74" t="n">
        <v>3</v>
      </c>
      <c r="AN58" s="74">
        <f>IFERROR(IF(AM58&gt;0,AL58/AM58,"-"),"-")</f>
        <v/>
      </c>
      <c r="AO58" s="75" t="n">
        <v>1</v>
      </c>
      <c r="AP58" s="74" t="n">
        <v>1</v>
      </c>
      <c r="AQ58" s="74">
        <f>IFERROR(IF(AP58&gt;0,AO58/AP58,"-"),"-")</f>
        <v/>
      </c>
      <c r="AR58" s="75" t="n"/>
      <c r="AS58" s="60" t="n"/>
      <c r="AT58" s="60" t="n"/>
    </row>
    <row r="59" ht="15" customHeight="1">
      <c r="A59" s="70" t="n">
        <v>47</v>
      </c>
      <c r="B59" s="71" t="inlineStr">
        <is>
          <t>Special Sets</t>
        </is>
      </c>
      <c r="C59" s="70" t="inlineStr">
        <is>
          <t>SP0007</t>
        </is>
      </c>
      <c r="D59" s="71" t="inlineStr">
        <is>
          <t>Reflection -T 100 ML</t>
        </is>
      </c>
      <c r="E59" s="70" t="n">
        <v>3</v>
      </c>
      <c r="F59" s="72">
        <f>SUM(I59:AP59)</f>
        <v/>
      </c>
      <c r="G59" s="72">
        <f>SUM(J59:AQ59)</f>
        <v/>
      </c>
      <c r="H59" s="73">
        <f>IFERROR(IF(G59&gt;0,F59/G59,"-"),"-")</f>
        <v/>
      </c>
      <c r="I59" s="74" t="n">
        <v>6</v>
      </c>
      <c r="J59" s="74">
        <f>IFERROR(IF(I59&gt;0,H59/I59,"-"),"-")</f>
        <v/>
      </c>
      <c r="K59" s="75" t="n">
        <v>3</v>
      </c>
      <c r="L59" s="74" t="n">
        <v>11</v>
      </c>
      <c r="M59" s="74">
        <f>IFERROR(IF(L59&gt;0,K59/L59,"-"),"-")</f>
        <v/>
      </c>
      <c r="N59" s="75" t="n">
        <v>1</v>
      </c>
      <c r="O59" s="74" t="n">
        <v>6</v>
      </c>
      <c r="P59" s="74">
        <f>IFERROR(IF(O59&gt;0,N59/O59,"-"),"-")</f>
        <v/>
      </c>
      <c r="Q59" s="75" t="n">
        <v>2</v>
      </c>
      <c r="R59" s="74" t="n">
        <v>13</v>
      </c>
      <c r="S59" s="74">
        <f>IFERROR(IF(R59&gt;0,Q59/R59,"-"),"-")</f>
        <v/>
      </c>
      <c r="T59" s="75" t="n">
        <v>2</v>
      </c>
      <c r="U59" s="74" t="n">
        <v>11</v>
      </c>
      <c r="V59" s="74">
        <f>IFERROR(IF(U59&gt;0,T59/U59,"-"),"-")</f>
        <v/>
      </c>
      <c r="W59" s="75" t="n">
        <v>1</v>
      </c>
      <c r="X59" s="74" t="n">
        <v>10</v>
      </c>
      <c r="Y59" s="74">
        <f>IFERROR(IF(X59&gt;0,W59/X59,"-"),"-")</f>
        <v/>
      </c>
      <c r="Z59" s="75" t="n">
        <v>5</v>
      </c>
      <c r="AA59" s="74" t="n">
        <v>26</v>
      </c>
      <c r="AB59" s="74">
        <f>IFERROR(IF(AA59&gt;0,Z59/AA59,"-"),"-")</f>
        <v/>
      </c>
      <c r="AC59" s="75" t="n">
        <v>3</v>
      </c>
      <c r="AD59" s="74" t="n">
        <v>30</v>
      </c>
      <c r="AE59" s="74">
        <f>IFERROR(IF(AD59&gt;0,AC59/AD59,"-"),"-")</f>
        <v/>
      </c>
      <c r="AF59" s="75" t="n">
        <v>1</v>
      </c>
      <c r="AG59" s="74" t="n"/>
      <c r="AH59" s="74">
        <f>IFERROR(IF(AG59&gt;0,AF59/AG59,"-"),"-")</f>
        <v/>
      </c>
      <c r="AI59" s="75" t="n">
        <v>2</v>
      </c>
      <c r="AJ59" s="74" t="n">
        <v>9</v>
      </c>
      <c r="AK59" s="74">
        <f>IFERROR(IF(AJ59&gt;0,AI59/AJ59,"-"),"-")</f>
        <v/>
      </c>
      <c r="AL59" s="75" t="n">
        <v>1</v>
      </c>
      <c r="AM59" s="74" t="n">
        <v>9</v>
      </c>
      <c r="AN59" s="74">
        <f>IFERROR(IF(AM59&gt;0,AL59/AM59,"-"),"-")</f>
        <v/>
      </c>
      <c r="AO59" s="75" t="n">
        <v>3</v>
      </c>
      <c r="AP59" s="74" t="n">
        <v>12</v>
      </c>
      <c r="AQ59" s="74">
        <f>IFERROR(IF(AP59&gt;0,AO59/AP59,"-"),"-")</f>
        <v/>
      </c>
      <c r="AR59" s="75" t="n">
        <v>2</v>
      </c>
      <c r="AS59" s="60" t="n"/>
      <c r="AT59" s="60" t="n"/>
    </row>
    <row r="60" ht="15" customHeight="1">
      <c r="A60" s="70" t="n">
        <v>48</v>
      </c>
      <c r="B60" s="71" t="inlineStr">
        <is>
          <t>Special Sets</t>
        </is>
      </c>
      <c r="C60" s="70" t="inlineStr">
        <is>
          <t>SP0017</t>
        </is>
      </c>
      <c r="D60" s="71" t="inlineStr">
        <is>
          <t>White Oud Oil 8ml</t>
        </is>
      </c>
      <c r="E60" s="70" t="n">
        <v>1</v>
      </c>
      <c r="F60" s="72">
        <f>SUM(I60:AP60)</f>
        <v/>
      </c>
      <c r="G60" s="72">
        <f>SUM(J60:AQ60)</f>
        <v/>
      </c>
      <c r="H60" s="73">
        <f>IFERROR(IF(G60&gt;0,F60/G60,"-"),"-")</f>
        <v/>
      </c>
      <c r="I60" s="74" t="n"/>
      <c r="J60" s="74">
        <f>IFERROR(IF(I60&gt;0,H60/I60,"-"),"-")</f>
        <v/>
      </c>
      <c r="K60" s="75" t="n"/>
      <c r="L60" s="74" t="n"/>
      <c r="M60" s="74">
        <f>IFERROR(IF(L60&gt;0,K60/L60,"-"),"-")</f>
        <v/>
      </c>
      <c r="N60" s="75" t="n"/>
      <c r="O60" s="74" t="n"/>
      <c r="P60" s="74">
        <f>IFERROR(IF(O60&gt;0,N60/O60,"-"),"-")</f>
        <v/>
      </c>
      <c r="Q60" s="75" t="n"/>
      <c r="R60" s="74" t="n"/>
      <c r="S60" s="74">
        <f>IFERROR(IF(R60&gt;0,Q60/R60,"-"),"-")</f>
        <v/>
      </c>
      <c r="T60" s="75" t="n"/>
      <c r="U60" s="74" t="n"/>
      <c r="V60" s="74">
        <f>IFERROR(IF(U60&gt;0,T60/U60,"-"),"-")</f>
        <v/>
      </c>
      <c r="W60" s="75" t="n"/>
      <c r="X60" s="74" t="n"/>
      <c r="Y60" s="74">
        <f>IFERROR(IF(X60&gt;0,W60/X60,"-"),"-")</f>
        <v/>
      </c>
      <c r="Z60" s="75" t="n">
        <v>1</v>
      </c>
      <c r="AA60" s="74" t="n"/>
      <c r="AB60" s="74">
        <f>IFERROR(IF(AA60&gt;0,Z60/AA60,"-"),"-")</f>
        <v/>
      </c>
      <c r="AC60" s="75" t="n"/>
      <c r="AD60" s="74" t="n"/>
      <c r="AE60" s="74">
        <f>IFERROR(IF(AD60&gt;0,AC60/AD60,"-"),"-")</f>
        <v/>
      </c>
      <c r="AF60" s="75" t="n"/>
      <c r="AG60" s="74" t="n"/>
      <c r="AH60" s="74">
        <f>IFERROR(IF(AG60&gt;0,AF60/AG60,"-"),"-")</f>
        <v/>
      </c>
      <c r="AI60" s="75" t="n"/>
      <c r="AJ60" s="74" t="n"/>
      <c r="AK60" s="74">
        <f>IFERROR(IF(AJ60&gt;0,AI60/AJ60,"-"),"-")</f>
        <v/>
      </c>
      <c r="AL60" s="75" t="n"/>
      <c r="AM60" s="74" t="n"/>
      <c r="AN60" s="74">
        <f>IFERROR(IF(AM60&gt;0,AL60/AM60,"-"),"-")</f>
        <v/>
      </c>
      <c r="AO60" s="75" t="n"/>
      <c r="AP60" s="74" t="n"/>
      <c r="AQ60" s="74">
        <f>IFERROR(IF(AP60&gt;0,AO60/AP60,"-"),"-")</f>
        <v/>
      </c>
      <c r="AR60" s="75" t="n"/>
      <c r="AS60" s="60" t="n"/>
      <c r="AT60" s="60" t="n"/>
    </row>
    <row r="61" ht="15" customHeight="1">
      <c r="A61" s="70" t="n">
        <v>49</v>
      </c>
      <c r="B61" s="71" t="inlineStr">
        <is>
          <t>Special Sets</t>
        </is>
      </c>
      <c r="C61" s="70" t="inlineStr">
        <is>
          <t>SP0018</t>
        </is>
      </c>
      <c r="D61" s="71" t="inlineStr">
        <is>
          <t>More Of Oud Oil 8ml</t>
        </is>
      </c>
      <c r="E61" s="70" t="n"/>
      <c r="F61" s="72">
        <f>SUM(I61:AP61)</f>
        <v/>
      </c>
      <c r="G61" s="72">
        <f>SUM(J61:AQ61)</f>
        <v/>
      </c>
      <c r="H61" s="73">
        <f>IFERROR(IF(G61&gt;0,F61/G61,"-"),"-")</f>
        <v/>
      </c>
      <c r="I61" s="74" t="n"/>
      <c r="J61" s="74">
        <f>IFERROR(IF(I61&gt;0,H61/I61,"-"),"-")</f>
        <v/>
      </c>
      <c r="K61" s="75" t="n"/>
      <c r="L61" s="74" t="n"/>
      <c r="M61" s="74">
        <f>IFERROR(IF(L61&gt;0,K61/L61,"-"),"-")</f>
        <v/>
      </c>
      <c r="N61" s="75" t="n"/>
      <c r="O61" s="74" t="n"/>
      <c r="P61" s="74">
        <f>IFERROR(IF(O61&gt;0,N61/O61,"-"),"-")</f>
        <v/>
      </c>
      <c r="Q61" s="75" t="n"/>
      <c r="R61" s="74" t="n">
        <v>4</v>
      </c>
      <c r="S61" s="74">
        <f>IFERROR(IF(R61&gt;0,Q61/R61,"-"),"-")</f>
        <v/>
      </c>
      <c r="T61" s="75" t="n"/>
      <c r="U61" s="74" t="n">
        <v>6</v>
      </c>
      <c r="V61" s="74">
        <f>IFERROR(IF(U61&gt;0,T61/U61,"-"),"-")</f>
        <v/>
      </c>
      <c r="W61" s="75" t="n"/>
      <c r="X61" s="74" t="n">
        <v>5</v>
      </c>
      <c r="Y61" s="74">
        <f>IFERROR(IF(X61&gt;0,W61/X61,"-"),"-")</f>
        <v/>
      </c>
      <c r="Z61" s="75" t="n"/>
      <c r="AA61" s="74" t="n">
        <v>3</v>
      </c>
      <c r="AB61" s="74">
        <f>IFERROR(IF(AA61&gt;0,Z61/AA61,"-"),"-")</f>
        <v/>
      </c>
      <c r="AC61" s="75" t="n"/>
      <c r="AD61" s="74" t="n">
        <v>2</v>
      </c>
      <c r="AE61" s="74">
        <f>IFERROR(IF(AD61&gt;0,AC61/AD61,"-"),"-")</f>
        <v/>
      </c>
      <c r="AF61" s="75" t="n"/>
      <c r="AG61" s="74" t="n"/>
      <c r="AH61" s="74">
        <f>IFERROR(IF(AG61&gt;0,AF61/AG61,"-"),"-")</f>
        <v/>
      </c>
      <c r="AI61" s="75" t="n">
        <v>1</v>
      </c>
      <c r="AJ61" s="74" t="n">
        <v>2</v>
      </c>
      <c r="AK61" s="74">
        <f>IFERROR(IF(AJ61&gt;0,AI61/AJ61,"-"),"-")</f>
        <v/>
      </c>
      <c r="AL61" s="75" t="n"/>
      <c r="AM61" s="74" t="n">
        <v>1</v>
      </c>
      <c r="AN61" s="74">
        <f>IFERROR(IF(AM61&gt;0,AL61/AM61,"-"),"-")</f>
        <v/>
      </c>
      <c r="AO61" s="75" t="n">
        <v>1</v>
      </c>
      <c r="AP61" s="74" t="n">
        <v>1</v>
      </c>
      <c r="AQ61" s="74">
        <f>IFERROR(IF(AP61&gt;0,AO61/AP61,"-"),"-")</f>
        <v/>
      </c>
      <c r="AR61" s="75" t="n"/>
      <c r="AS61" s="60" t="n"/>
      <c r="AT61" s="60" t="n"/>
    </row>
    <row r="62" ht="15" customHeight="1">
      <c r="A62" s="76" t="inlineStr">
        <is>
          <t xml:space="preserve">  OILS &amp; CPO</t>
        </is>
      </c>
      <c r="B62" s="77" t="n"/>
      <c r="C62" s="77" t="n"/>
      <c r="D62" s="77" t="n"/>
      <c r="E62" s="77" t="n">
        <v>2</v>
      </c>
      <c r="F62" s="72">
        <f>SUM(I62:AP62)</f>
        <v/>
      </c>
      <c r="G62" s="72">
        <f>SUM(J62:AQ62)</f>
        <v/>
      </c>
      <c r="H62" s="73">
        <f>IFERROR(IF(G62&gt;0,F62/G62,"-"),"-")</f>
        <v/>
      </c>
      <c r="I62" s="74" t="n">
        <v>11</v>
      </c>
      <c r="J62" s="74">
        <f>IFERROR(IF(I62&gt;0,H62/I62,"-"),"-")</f>
        <v/>
      </c>
      <c r="K62" s="75" t="n">
        <v>2</v>
      </c>
      <c r="L62" s="74" t="n"/>
      <c r="M62" s="74">
        <f>IFERROR(IF(L62&gt;0,K62/L62,"-"),"-")</f>
        <v/>
      </c>
      <c r="N62" s="75" t="n"/>
      <c r="O62" s="74" t="n">
        <v>7</v>
      </c>
      <c r="P62" s="74">
        <f>IFERROR(IF(O62&gt;0,N62/O62,"-"),"-")</f>
        <v/>
      </c>
      <c r="Q62" s="75" t="n">
        <v>1</v>
      </c>
      <c r="R62" s="74" t="n">
        <v>30</v>
      </c>
      <c r="S62" s="74">
        <f>IFERROR(IF(R62&gt;0,Q62/R62,"-"),"-")</f>
        <v/>
      </c>
      <c r="T62" s="75" t="n">
        <v>2</v>
      </c>
      <c r="U62" s="74" t="n">
        <v>16</v>
      </c>
      <c r="V62" s="74">
        <f>IFERROR(IF(U62&gt;0,T62/U62,"-"),"-")</f>
        <v/>
      </c>
      <c r="W62" s="75" t="n"/>
      <c r="X62" s="74" t="n">
        <v>16</v>
      </c>
      <c r="Y62" s="74">
        <f>IFERROR(IF(X62&gt;0,W62/X62,"-"),"-")</f>
        <v/>
      </c>
      <c r="Z62" s="75" t="n">
        <v>7</v>
      </c>
      <c r="AA62" s="74" t="n">
        <v>46</v>
      </c>
      <c r="AB62" s="74">
        <f>IFERROR(IF(AA62&gt;0,Z62/AA62,"-"),"-")</f>
        <v/>
      </c>
      <c r="AC62" s="75" t="n">
        <v>2</v>
      </c>
      <c r="AD62" s="74" t="n">
        <v>19</v>
      </c>
      <c r="AE62" s="74">
        <f>IFERROR(IF(AD62&gt;0,AC62/AD62,"-"),"-")</f>
        <v/>
      </c>
      <c r="AF62" s="75" t="n">
        <v>1</v>
      </c>
      <c r="AG62" s="74" t="n"/>
      <c r="AH62" s="74">
        <f>IFERROR(IF(AG62&gt;0,AF62/AG62,"-"),"-")</f>
        <v/>
      </c>
      <c r="AI62" s="75" t="n">
        <v>2</v>
      </c>
      <c r="AJ62" s="74" t="n">
        <v>14</v>
      </c>
      <c r="AK62" s="74">
        <f>IFERROR(IF(AJ62&gt;0,AI62/AJ62,"-"),"-")</f>
        <v/>
      </c>
      <c r="AL62" s="75" t="n">
        <v>1</v>
      </c>
      <c r="AM62" s="74" t="n">
        <v>5</v>
      </c>
      <c r="AN62" s="74">
        <f>IFERROR(IF(AM62&gt;0,AL62/AM62,"-"),"-")</f>
        <v/>
      </c>
      <c r="AO62" s="75" t="n">
        <v>1</v>
      </c>
      <c r="AP62" s="74" t="n">
        <v>16</v>
      </c>
      <c r="AQ62" s="74">
        <f>IFERROR(IF(AP62&gt;0,AO62/AP62,"-"),"-")</f>
        <v/>
      </c>
      <c r="AR62" s="75" t="n">
        <v>2</v>
      </c>
      <c r="AS62" s="59" t="n"/>
      <c r="AT62" s="59" t="n"/>
    </row>
    <row r="63" ht="15" customHeight="1">
      <c r="A63" s="70" t="n">
        <v>50</v>
      </c>
      <c r="B63" s="71" t="inlineStr">
        <is>
          <t>Oils &amp; CPO</t>
        </is>
      </c>
      <c r="C63" s="70" t="inlineStr">
        <is>
          <t>I00001</t>
        </is>
      </c>
      <c r="D63" s="71" t="inlineStr">
        <is>
          <t>Hindi Special</t>
        </is>
      </c>
      <c r="E63" s="70" t="n">
        <v>2</v>
      </c>
      <c r="F63" s="72">
        <f>SUM(I63:AP63)</f>
        <v/>
      </c>
      <c r="G63" s="72">
        <f>SUM(J63:AQ63)</f>
        <v/>
      </c>
      <c r="H63" s="73">
        <f>IFERROR(IF(G63&gt;0,F63/G63,"-"),"-")</f>
        <v/>
      </c>
      <c r="I63" s="74" t="n"/>
      <c r="J63" s="74">
        <f>IFERROR(IF(I63&gt;0,H63/I63,"-"),"-")</f>
        <v/>
      </c>
      <c r="K63" s="75" t="n"/>
      <c r="L63" s="74" t="n"/>
      <c r="M63" s="74">
        <f>IFERROR(IF(L63&gt;0,K63/L63,"-"),"-")</f>
        <v/>
      </c>
      <c r="N63" s="75" t="n"/>
      <c r="O63" s="74" t="n"/>
      <c r="P63" s="74">
        <f>IFERROR(IF(O63&gt;0,N63/O63,"-"),"-")</f>
        <v/>
      </c>
      <c r="Q63" s="75" t="n"/>
      <c r="R63" s="74" t="n"/>
      <c r="S63" s="74">
        <f>IFERROR(IF(R63&gt;0,Q63/R63,"-"),"-")</f>
        <v/>
      </c>
      <c r="T63" s="75" t="n"/>
      <c r="U63" s="74" t="n"/>
      <c r="V63" s="74">
        <f>IFERROR(IF(U63&gt;0,T63/U63,"-"),"-")</f>
        <v/>
      </c>
      <c r="W63" s="75" t="n"/>
      <c r="X63" s="74" t="n"/>
      <c r="Y63" s="74">
        <f>IFERROR(IF(X63&gt;0,W63/X63,"-"),"-")</f>
        <v/>
      </c>
      <c r="Z63" s="75" t="n"/>
      <c r="AA63" s="74" t="n"/>
      <c r="AB63" s="74">
        <f>IFERROR(IF(AA63&gt;0,Z63/AA63,"-"),"-")</f>
        <v/>
      </c>
      <c r="AC63" s="75" t="n"/>
      <c r="AD63" s="74" t="n"/>
      <c r="AE63" s="74">
        <f>IFERROR(IF(AD63&gt;0,AC63/AD63,"-"),"-")</f>
        <v/>
      </c>
      <c r="AF63" s="75" t="n"/>
      <c r="AG63" s="74" t="n"/>
      <c r="AH63" s="74">
        <f>IFERROR(IF(AG63&gt;0,AF63/AG63,"-"),"-")</f>
        <v/>
      </c>
      <c r="AI63" s="75" t="n"/>
      <c r="AJ63" s="74" t="n"/>
      <c r="AK63" s="74">
        <f>IFERROR(IF(AJ63&gt;0,AI63/AJ63,"-"),"-")</f>
        <v/>
      </c>
      <c r="AL63" s="75" t="n"/>
      <c r="AM63" s="74" t="n"/>
      <c r="AN63" s="74">
        <f>IFERROR(IF(AM63&gt;0,AL63/AM63,"-"),"-")</f>
        <v/>
      </c>
      <c r="AO63" s="75" t="n"/>
      <c r="AP63" s="74" t="n"/>
      <c r="AQ63" s="74">
        <f>IFERROR(IF(AP63&gt;0,AO63/AP63,"-"),"-")</f>
        <v/>
      </c>
      <c r="AR63" s="75" t="n"/>
      <c r="AS63" s="60" t="n"/>
      <c r="AT63" s="60" t="n"/>
    </row>
    <row r="64" ht="15" customHeight="1">
      <c r="A64" s="70" t="n">
        <v>51</v>
      </c>
      <c r="B64" s="71" t="inlineStr">
        <is>
          <t>Oils &amp; CPO</t>
        </is>
      </c>
      <c r="C64" s="70" t="inlineStr">
        <is>
          <t>I00002</t>
        </is>
      </c>
      <c r="D64" s="71" t="inlineStr">
        <is>
          <t>Seufi Special</t>
        </is>
      </c>
      <c r="E64" s="70" t="n"/>
      <c r="F64" s="72">
        <f>SUM(I64:AP64)</f>
        <v/>
      </c>
      <c r="G64" s="72">
        <f>SUM(J64:AQ64)</f>
        <v/>
      </c>
      <c r="H64" s="73">
        <f>IFERROR(IF(G64&gt;0,F64/G64,"-"),"-")</f>
        <v/>
      </c>
      <c r="I64" s="74" t="n"/>
      <c r="J64" s="74">
        <f>IFERROR(IF(I64&gt;0,H64/I64,"-"),"-")</f>
        <v/>
      </c>
      <c r="K64" s="75" t="n"/>
      <c r="L64" s="74" t="n"/>
      <c r="M64" s="74">
        <f>IFERROR(IF(L64&gt;0,K64/L64,"-"),"-")</f>
        <v/>
      </c>
      <c r="N64" s="75" t="n"/>
      <c r="O64" s="74" t="n"/>
      <c r="P64" s="74">
        <f>IFERROR(IF(O64&gt;0,N64/O64,"-"),"-")</f>
        <v/>
      </c>
      <c r="Q64" s="75" t="n"/>
      <c r="R64" s="74" t="n"/>
      <c r="S64" s="74">
        <f>IFERROR(IF(R64&gt;0,Q64/R64,"-"),"-")</f>
        <v/>
      </c>
      <c r="T64" s="75" t="n">
        <v>1</v>
      </c>
      <c r="U64" s="74" t="n">
        <v>5</v>
      </c>
      <c r="V64" s="74">
        <f>IFERROR(IF(U64&gt;0,T64/U64,"-"),"-")</f>
        <v/>
      </c>
      <c r="W64" s="75" t="n">
        <v>1</v>
      </c>
      <c r="X64" s="74" t="n"/>
      <c r="Y64" s="74">
        <f>IFERROR(IF(X64&gt;0,W64/X64,"-"),"-")</f>
        <v/>
      </c>
      <c r="Z64" s="75" t="n">
        <v>1</v>
      </c>
      <c r="AA64" s="74" t="n">
        <v>1</v>
      </c>
      <c r="AB64" s="74">
        <f>IFERROR(IF(AA64&gt;0,Z64/AA64,"-"),"-")</f>
        <v/>
      </c>
      <c r="AC64" s="75" t="n">
        <v>1</v>
      </c>
      <c r="AD64" s="74" t="n"/>
      <c r="AE64" s="74">
        <f>IFERROR(IF(AD64&gt;0,AC64/AD64,"-"),"-")</f>
        <v/>
      </c>
      <c r="AF64" s="75" t="n"/>
      <c r="AG64" s="74" t="n"/>
      <c r="AH64" s="74">
        <f>IFERROR(IF(AG64&gt;0,AF64/AG64,"-"),"-")</f>
        <v/>
      </c>
      <c r="AI64" s="75" t="n"/>
      <c r="AJ64" s="74" t="n"/>
      <c r="AK64" s="74">
        <f>IFERROR(IF(AJ64&gt;0,AI64/AJ64,"-"),"-")</f>
        <v/>
      </c>
      <c r="AL64" s="75" t="n"/>
      <c r="AM64" s="74" t="n"/>
      <c r="AN64" s="74">
        <f>IFERROR(IF(AM64&gt;0,AL64/AM64,"-"),"-")</f>
        <v/>
      </c>
      <c r="AO64" s="75" t="n"/>
      <c r="AP64" s="74" t="n"/>
      <c r="AQ64" s="74">
        <f>IFERROR(IF(AP64&gt;0,AO64/AP64,"-"),"-")</f>
        <v/>
      </c>
      <c r="AR64" s="75" t="n"/>
      <c r="AS64" s="60" t="n"/>
      <c r="AT64" s="60" t="n"/>
    </row>
    <row r="65" ht="15" customHeight="1">
      <c r="A65" s="60" t="n"/>
      <c r="B65" s="69" t="n"/>
      <c r="C65" s="60" t="n"/>
      <c r="D65" s="69" t="n"/>
      <c r="E65" s="60" t="n"/>
      <c r="F65" s="60" t="n"/>
      <c r="G65" s="60" t="n"/>
      <c r="H65" s="60" t="n"/>
      <c r="I65" s="60" t="n"/>
      <c r="J65" s="60" t="n"/>
      <c r="K65" s="60" t="n"/>
      <c r="L65" s="60" t="n"/>
      <c r="M65" s="60" t="n"/>
      <c r="N65" s="60" t="n"/>
      <c r="O65" s="60" t="n"/>
      <c r="P65" s="60" t="n"/>
      <c r="Q65" s="60" t="n"/>
      <c r="R65" s="60" t="n"/>
      <c r="S65" s="60" t="n"/>
      <c r="T65" s="60" t="n"/>
      <c r="U65" s="60" t="n"/>
      <c r="V65" s="60" t="n"/>
      <c r="W65" s="60" t="n"/>
      <c r="X65" s="60" t="n"/>
      <c r="Y65" s="60" t="n"/>
      <c r="Z65" s="60" t="n"/>
      <c r="AA65" s="60" t="n"/>
      <c r="AB65" s="60" t="n"/>
      <c r="AC65" s="60" t="n"/>
      <c r="AD65" s="60" t="n"/>
      <c r="AE65" s="60" t="n"/>
      <c r="AF65" s="60" t="n"/>
      <c r="AG65" s="60" t="n"/>
      <c r="AH65" s="60" t="n"/>
      <c r="AI65" s="60" t="n"/>
      <c r="AJ65" s="60" t="n"/>
      <c r="AK65" s="60" t="n"/>
      <c r="AL65" s="60" t="n"/>
      <c r="AM65" s="60" t="n"/>
      <c r="AN65" s="60" t="n"/>
      <c r="AO65" s="60" t="n"/>
      <c r="AP65" s="60" t="n"/>
      <c r="AQ65" s="60" t="n"/>
      <c r="AR65" s="60" t="n"/>
      <c r="AS65" s="60" t="n"/>
      <c r="AT65" s="60" t="n"/>
    </row>
    <row r="66" ht="15" customHeight="1">
      <c r="A66" s="60" t="n"/>
      <c r="B66" s="69" t="n"/>
      <c r="C66" s="60" t="n"/>
      <c r="D66" s="69" t="n"/>
      <c r="E66" s="60" t="n"/>
      <c r="F66" s="60" t="n"/>
      <c r="G66" s="60" t="n"/>
      <c r="H66" s="60" t="n"/>
      <c r="I66" s="60" t="n"/>
      <c r="J66" s="60" t="n"/>
      <c r="K66" s="60" t="n"/>
      <c r="L66" s="60" t="n"/>
      <c r="M66" s="60" t="n"/>
      <c r="N66" s="60" t="n"/>
      <c r="O66" s="60" t="n"/>
      <c r="P66" s="60" t="n"/>
      <c r="Q66" s="60" t="n"/>
      <c r="R66" s="60" t="n"/>
      <c r="S66" s="60" t="n"/>
      <c r="T66" s="60" t="n"/>
      <c r="U66" s="60" t="n"/>
      <c r="V66" s="60" t="n"/>
      <c r="W66" s="60" t="n"/>
      <c r="X66" s="60" t="n"/>
      <c r="Y66" s="60" t="n"/>
      <c r="Z66" s="60" t="n"/>
      <c r="AA66" s="60" t="n"/>
      <c r="AB66" s="60" t="n"/>
      <c r="AC66" s="60" t="n"/>
      <c r="AD66" s="60" t="n"/>
      <c r="AE66" s="60" t="n"/>
      <c r="AF66" s="60" t="n"/>
      <c r="AG66" s="60" t="n"/>
      <c r="AH66" s="60" t="n"/>
      <c r="AI66" s="60" t="n"/>
      <c r="AJ66" s="60" t="n"/>
      <c r="AK66" s="60" t="n"/>
      <c r="AL66" s="60" t="n"/>
      <c r="AM66" s="60" t="n"/>
      <c r="AN66" s="60" t="n"/>
      <c r="AO66" s="60" t="n"/>
      <c r="AP66" s="60" t="n"/>
      <c r="AQ66" s="60" t="n"/>
      <c r="AR66" s="60" t="n"/>
      <c r="AS66" s="60" t="n"/>
      <c r="AT66" s="60" t="n"/>
    </row>
    <row r="67" ht="15" customHeight="1">
      <c r="A67" s="60" t="n"/>
      <c r="B67" s="69" t="n"/>
      <c r="C67" s="60" t="n"/>
      <c r="D67" s="69" t="n"/>
      <c r="E67" s="60" t="n"/>
      <c r="F67" s="60" t="n"/>
      <c r="G67" s="60" t="n"/>
      <c r="H67" s="60" t="n"/>
      <c r="I67" s="60" t="n"/>
      <c r="J67" s="60" t="n"/>
      <c r="K67" s="60" t="n"/>
      <c r="L67" s="60" t="n"/>
      <c r="M67" s="60" t="n"/>
      <c r="N67" s="60" t="n"/>
      <c r="O67" s="60" t="n"/>
      <c r="P67" s="60" t="n"/>
      <c r="Q67" s="60" t="n"/>
      <c r="R67" s="60" t="n"/>
      <c r="S67" s="60" t="n"/>
      <c r="T67" s="60" t="n"/>
      <c r="U67" s="60" t="n"/>
      <c r="V67" s="60" t="n"/>
      <c r="W67" s="60" t="n"/>
      <c r="X67" s="60" t="n"/>
      <c r="Y67" s="60" t="n"/>
      <c r="Z67" s="60" t="n"/>
      <c r="AA67" s="60" t="n"/>
      <c r="AB67" s="60" t="n"/>
      <c r="AC67" s="60" t="n"/>
      <c r="AD67" s="60" t="n"/>
      <c r="AE67" s="60" t="n"/>
      <c r="AF67" s="60" t="n"/>
      <c r="AG67" s="60" t="n"/>
      <c r="AH67" s="60" t="n"/>
      <c r="AI67" s="60" t="n"/>
      <c r="AJ67" s="60" t="n"/>
      <c r="AK67" s="60" t="n"/>
      <c r="AL67" s="60" t="n"/>
      <c r="AM67" s="60" t="n"/>
      <c r="AN67" s="60" t="n"/>
      <c r="AO67" s="60" t="n"/>
      <c r="AP67" s="60" t="n"/>
      <c r="AQ67" s="60" t="n"/>
      <c r="AR67" s="60" t="n"/>
      <c r="AS67" s="60" t="n"/>
      <c r="AT67" s="60" t="n"/>
    </row>
    <row r="68" ht="15" customHeight="1">
      <c r="A68" s="60" t="n"/>
      <c r="B68" s="69" t="n"/>
      <c r="C68" s="60" t="n"/>
      <c r="D68" s="69" t="n"/>
      <c r="E68" s="60" t="n"/>
      <c r="F68" s="60" t="n"/>
      <c r="G68" s="60" t="n"/>
      <c r="H68" s="60" t="n"/>
      <c r="I68" s="60" t="n"/>
      <c r="J68" s="60" t="n"/>
      <c r="K68" s="60" t="n"/>
      <c r="L68" s="60" t="n"/>
      <c r="M68" s="60" t="n"/>
      <c r="N68" s="60" t="n"/>
      <c r="O68" s="60" t="n"/>
      <c r="P68" s="60" t="n"/>
      <c r="Q68" s="60" t="n"/>
      <c r="R68" s="60" t="n"/>
      <c r="S68" s="60" t="n"/>
      <c r="T68" s="60" t="n"/>
      <c r="U68" s="60" t="n"/>
      <c r="V68" s="60" t="n"/>
      <c r="W68" s="60" t="n"/>
      <c r="X68" s="60" t="n"/>
      <c r="Y68" s="60" t="n"/>
      <c r="Z68" s="60" t="n"/>
      <c r="AA68" s="60" t="n"/>
      <c r="AB68" s="60" t="n"/>
      <c r="AC68" s="60" t="n"/>
      <c r="AD68" s="60" t="n"/>
      <c r="AE68" s="60" t="n"/>
      <c r="AF68" s="60" t="n"/>
      <c r="AG68" s="60" t="n"/>
      <c r="AH68" s="60" t="n"/>
      <c r="AI68" s="60" t="n"/>
      <c r="AJ68" s="60" t="n"/>
      <c r="AK68" s="60" t="n"/>
      <c r="AL68" s="60" t="n"/>
      <c r="AM68" s="60" t="n"/>
      <c r="AN68" s="60" t="n"/>
      <c r="AO68" s="60" t="n"/>
      <c r="AP68" s="60" t="n"/>
      <c r="AQ68" s="60" t="n"/>
      <c r="AR68" s="60" t="n"/>
      <c r="AS68" s="60" t="n"/>
      <c r="AT68" s="60" t="n"/>
    </row>
    <row r="69" ht="15" customHeight="1">
      <c r="A69" s="60" t="n"/>
      <c r="B69" s="69" t="n"/>
      <c r="C69" s="60" t="n"/>
      <c r="D69" s="69" t="n"/>
      <c r="E69" s="60" t="n"/>
      <c r="F69" s="60" t="n"/>
      <c r="G69" s="60" t="n"/>
      <c r="H69" s="60" t="n"/>
      <c r="I69" s="60" t="n"/>
      <c r="J69" s="60" t="n"/>
      <c r="K69" s="60" t="n"/>
      <c r="L69" s="60" t="n"/>
      <c r="M69" s="60" t="n"/>
      <c r="N69" s="60" t="n"/>
      <c r="O69" s="60" t="n"/>
      <c r="P69" s="60" t="n"/>
      <c r="Q69" s="60" t="n"/>
      <c r="R69" s="60" t="n"/>
      <c r="S69" s="60" t="n"/>
      <c r="T69" s="60" t="n"/>
      <c r="U69" s="60" t="n"/>
      <c r="V69" s="60" t="n"/>
      <c r="W69" s="60" t="n"/>
      <c r="X69" s="60" t="n"/>
      <c r="Y69" s="60" t="n"/>
      <c r="Z69" s="60" t="n"/>
      <c r="AA69" s="60" t="n"/>
      <c r="AB69" s="60" t="n"/>
      <c r="AC69" s="60" t="n"/>
      <c r="AD69" s="60" t="n"/>
      <c r="AE69" s="60" t="n"/>
      <c r="AF69" s="60" t="n"/>
      <c r="AG69" s="60" t="n"/>
      <c r="AH69" s="60" t="n"/>
      <c r="AI69" s="60" t="n"/>
      <c r="AJ69" s="60" t="n"/>
      <c r="AK69" s="60" t="n"/>
      <c r="AL69" s="60" t="n"/>
      <c r="AM69" s="60" t="n"/>
      <c r="AN69" s="60" t="n"/>
      <c r="AO69" s="60" t="n"/>
      <c r="AP69" s="60" t="n"/>
      <c r="AQ69" s="60" t="n"/>
      <c r="AR69" s="60" t="n"/>
      <c r="AS69" s="60" t="n"/>
      <c r="AT69" s="60" t="n"/>
    </row>
    <row r="70" ht="15" customHeight="1">
      <c r="A70" s="68" t="n"/>
      <c r="B70" s="59" t="n"/>
      <c r="C70" s="59" t="n"/>
      <c r="D70" s="59" t="n"/>
      <c r="E70" s="59" t="n"/>
      <c r="F70" s="59" t="n"/>
      <c r="G70" s="59" t="n"/>
      <c r="H70" s="59" t="n"/>
      <c r="I70" s="59" t="n"/>
      <c r="J70" s="59" t="n"/>
      <c r="K70" s="59" t="n"/>
      <c r="L70" s="59" t="n"/>
      <c r="M70" s="59" t="n"/>
      <c r="N70" s="59" t="n"/>
      <c r="O70" s="59" t="n"/>
      <c r="P70" s="59" t="n"/>
      <c r="Q70" s="59" t="n"/>
      <c r="R70" s="59" t="n"/>
      <c r="S70" s="59" t="n"/>
      <c r="T70" s="59" t="n"/>
      <c r="U70" s="59" t="n"/>
      <c r="V70" s="59" t="n"/>
      <c r="W70" s="59" t="n"/>
      <c r="X70" s="59" t="n"/>
      <c r="Y70" s="59" t="n"/>
      <c r="Z70" s="59" t="n"/>
      <c r="AA70" s="59" t="n"/>
      <c r="AB70" s="59" t="n"/>
      <c r="AC70" s="59" t="n"/>
      <c r="AD70" s="59" t="n"/>
      <c r="AE70" s="59" t="n"/>
      <c r="AF70" s="59" t="n"/>
      <c r="AG70" s="59" t="n"/>
      <c r="AH70" s="59" t="n"/>
      <c r="AI70" s="59" t="n"/>
      <c r="AJ70" s="59" t="n"/>
      <c r="AK70" s="59" t="n"/>
      <c r="AL70" s="59" t="n"/>
      <c r="AM70" s="59" t="n"/>
      <c r="AN70" s="59" t="n"/>
      <c r="AO70" s="59" t="n"/>
      <c r="AP70" s="59" t="n"/>
      <c r="AQ70" s="59" t="n"/>
      <c r="AR70" s="59" t="n"/>
      <c r="AS70" s="59" t="n"/>
      <c r="AT70" s="59" t="n"/>
    </row>
    <row r="71" ht="15" customHeight="1">
      <c r="A71" s="60" t="n"/>
      <c r="B71" s="69" t="n"/>
      <c r="C71" s="60" t="n"/>
      <c r="D71" s="69" t="n"/>
      <c r="E71" s="60" t="n"/>
      <c r="F71" s="60" t="n"/>
      <c r="G71" s="60" t="n"/>
      <c r="H71" s="60" t="n"/>
      <c r="I71" s="60" t="n"/>
      <c r="J71" s="60" t="n"/>
      <c r="K71" s="60" t="n"/>
      <c r="L71" s="60" t="n"/>
      <c r="M71" s="60" t="n"/>
      <c r="N71" s="60" t="n"/>
      <c r="O71" s="60" t="n"/>
      <c r="P71" s="60" t="n"/>
      <c r="Q71" s="60" t="n"/>
      <c r="R71" s="60" t="n"/>
      <c r="S71" s="60" t="n"/>
      <c r="T71" s="60" t="n"/>
      <c r="U71" s="60" t="n"/>
      <c r="V71" s="60" t="n"/>
      <c r="W71" s="60" t="n"/>
      <c r="X71" s="60" t="n"/>
      <c r="Y71" s="60" t="n"/>
      <c r="Z71" s="60" t="n"/>
      <c r="AA71" s="60" t="n"/>
      <c r="AB71" s="60" t="n"/>
      <c r="AC71" s="60" t="n"/>
      <c r="AD71" s="60" t="n"/>
      <c r="AE71" s="60" t="n"/>
      <c r="AF71" s="60" t="n"/>
      <c r="AG71" s="60" t="n"/>
      <c r="AH71" s="60" t="n"/>
      <c r="AI71" s="60" t="n"/>
      <c r="AJ71" s="60" t="n"/>
      <c r="AK71" s="60" t="n"/>
      <c r="AL71" s="60" t="n"/>
      <c r="AM71" s="60" t="n"/>
      <c r="AN71" s="60" t="n"/>
      <c r="AO71" s="60" t="n"/>
      <c r="AP71" s="60" t="n"/>
      <c r="AQ71" s="60" t="n"/>
      <c r="AR71" s="60" t="n"/>
      <c r="AS71" s="60" t="n"/>
      <c r="AT71" s="60" t="n"/>
    </row>
    <row r="72" ht="15" customHeight="1">
      <c r="A72" s="60" t="n"/>
      <c r="B72" s="69" t="n"/>
      <c r="C72" s="60" t="n"/>
      <c r="D72" s="69" t="n"/>
      <c r="E72" s="60" t="n"/>
      <c r="F72" s="60" t="n"/>
      <c r="G72" s="60" t="n"/>
      <c r="H72" s="60" t="n"/>
      <c r="I72" s="60" t="n"/>
      <c r="J72" s="60" t="n"/>
      <c r="K72" s="60" t="n"/>
      <c r="L72" s="60" t="n"/>
      <c r="M72" s="60" t="n"/>
      <c r="N72" s="60" t="n"/>
      <c r="O72" s="60" t="n"/>
      <c r="P72" s="60" t="n"/>
      <c r="Q72" s="60" t="n"/>
      <c r="R72" s="60" t="n"/>
      <c r="S72" s="60" t="n"/>
      <c r="T72" s="60" t="n"/>
      <c r="U72" s="60" t="n"/>
      <c r="V72" s="60" t="n"/>
      <c r="W72" s="60" t="n"/>
      <c r="X72" s="60" t="n"/>
      <c r="Y72" s="60" t="n"/>
      <c r="Z72" s="60" t="n"/>
      <c r="AA72" s="60" t="n"/>
      <c r="AB72" s="60" t="n"/>
      <c r="AC72" s="60" t="n"/>
      <c r="AD72" s="60" t="n"/>
      <c r="AE72" s="60" t="n"/>
      <c r="AF72" s="60" t="n"/>
      <c r="AG72" s="60" t="n"/>
      <c r="AH72" s="60" t="n"/>
      <c r="AI72" s="60" t="n"/>
      <c r="AJ72" s="60" t="n"/>
      <c r="AK72" s="60" t="n"/>
      <c r="AL72" s="60" t="n"/>
      <c r="AM72" s="60" t="n"/>
      <c r="AN72" s="60" t="n"/>
      <c r="AO72" s="60" t="n"/>
      <c r="AP72" s="60" t="n"/>
      <c r="AQ72" s="60" t="n"/>
      <c r="AR72" s="60" t="n"/>
      <c r="AS72" s="60" t="n"/>
      <c r="AT72" s="60" t="n"/>
    </row>
    <row r="73" ht="15" customHeight="1">
      <c r="A73" s="60" t="n"/>
      <c r="B73" s="69" t="n"/>
      <c r="C73" s="60" t="n"/>
      <c r="D73" s="69" t="n"/>
      <c r="E73" s="60" t="n"/>
      <c r="F73" s="60" t="n"/>
      <c r="G73" s="60" t="n"/>
      <c r="H73" s="60" t="n"/>
      <c r="I73" s="60" t="n"/>
      <c r="J73" s="60" t="n"/>
      <c r="K73" s="60" t="n"/>
      <c r="L73" s="60" t="n"/>
      <c r="M73" s="60" t="n"/>
      <c r="N73" s="60" t="n"/>
      <c r="O73" s="60" t="n"/>
      <c r="P73" s="60" t="n"/>
      <c r="Q73" s="60" t="n"/>
      <c r="R73" s="60" t="n"/>
      <c r="S73" s="60" t="n"/>
      <c r="T73" s="60" t="n"/>
      <c r="U73" s="60" t="n"/>
      <c r="V73" s="60" t="n"/>
      <c r="W73" s="60" t="n"/>
      <c r="X73" s="60" t="n"/>
      <c r="Y73" s="60" t="n"/>
      <c r="Z73" s="60" t="n"/>
      <c r="AA73" s="60" t="n"/>
      <c r="AB73" s="60" t="n"/>
      <c r="AC73" s="60" t="n"/>
      <c r="AD73" s="60" t="n"/>
      <c r="AE73" s="60" t="n"/>
      <c r="AF73" s="60" t="n"/>
      <c r="AG73" s="60" t="n"/>
      <c r="AH73" s="60" t="n"/>
      <c r="AI73" s="60" t="n"/>
      <c r="AJ73" s="60" t="n"/>
      <c r="AK73" s="60" t="n"/>
      <c r="AL73" s="60" t="n"/>
      <c r="AM73" s="60" t="n"/>
      <c r="AN73" s="60" t="n"/>
      <c r="AO73" s="60" t="n"/>
      <c r="AP73" s="60" t="n"/>
      <c r="AQ73" s="60" t="n"/>
      <c r="AR73" s="60" t="n"/>
      <c r="AS73" s="60" t="n"/>
      <c r="AT73" s="60" t="n"/>
    </row>
  </sheetData>
  <mergeCells count="14">
    <mergeCell ref="AA3"/>
    <mergeCell ref="AG3"/>
    <mergeCell ref="AM3"/>
    <mergeCell ref="A2:AZ2"/>
    <mergeCell ref="AD3"/>
    <mergeCell ref="O3"/>
    <mergeCell ref="AP3"/>
    <mergeCell ref="L3"/>
    <mergeCell ref="X3"/>
    <mergeCell ref="A1:AZ1"/>
    <mergeCell ref="AJ3"/>
    <mergeCell ref="I3"/>
    <mergeCell ref="U3"/>
    <mergeCell ref="R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A237E"/>
    <outlinePr summaryBelow="1" summaryRight="1"/>
    <pageSetUpPr/>
  </sheetPr>
  <dimension ref="A1:AZ64"/>
  <sheetViews>
    <sheetView showGridLines="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2" customWidth="1" min="4" max="4"/>
    <col width="25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7.5" customWidth="1" min="18" max="18"/>
    <col width="9" customWidth="1" min="19" max="19"/>
  </cols>
  <sheetData>
    <row r="1" ht="25" customHeight="1">
      <c r="A1" s="55" t="inlineStr">
        <is>
          <t>EMIRATES PRIDE PERFUMES | TESTER CONSUMPTION | FEB 2026 | IMAD</t>
        </is>
      </c>
    </row>
    <row r="2" ht="14" customHeight="1">
      <c r="A2" s="56" t="inlineStr">
        <is>
          <t>T=Testers Dispatched (blue) | S=Sales Generated (green) | Contrib%=Contribution %</t>
        </is>
      </c>
    </row>
    <row r="3" ht="30" customHeight="1">
      <c r="A3" s="57" t="inlineStr">
        <is>
          <t>#</t>
        </is>
      </c>
      <c r="B3" s="57" t="inlineStr">
        <is>
          <t>Category</t>
        </is>
      </c>
      <c r="C3" s="57" t="inlineStr">
        <is>
          <t>Sub-Category</t>
        </is>
      </c>
      <c r="D3" s="57" t="inlineStr">
        <is>
          <t>SKU Code</t>
        </is>
      </c>
      <c r="E3" s="57" t="inlineStr">
        <is>
          <t>Product Name</t>
        </is>
      </c>
      <c r="F3" s="57" t="inlineStr">
        <is>
          <t>Grand Total
Testers</t>
        </is>
      </c>
      <c r="G3" s="57" t="inlineStr">
        <is>
          <t>Grand Total
Sales</t>
        </is>
      </c>
      <c r="H3" s="57" t="inlineStr">
        <is>
          <t>Grand Total
Contrib%</t>
        </is>
      </c>
      <c r="I3" s="58" t="inlineStr">
        <is>
          <t>Mirdif CC</t>
        </is>
      </c>
      <c r="J3" s="59" t="n"/>
      <c r="K3" s="60" t="n"/>
      <c r="L3" s="58" t="inlineStr">
        <is>
          <t>Dubai Hills</t>
        </is>
      </c>
      <c r="M3" s="59" t="n"/>
      <c r="N3" s="60" t="n"/>
      <c r="O3" s="58" t="inlineStr">
        <is>
          <t>Dubai Fest City</t>
        </is>
      </c>
      <c r="P3" s="59" t="n"/>
      <c r="Q3" s="60" t="n"/>
      <c r="R3" s="59" t="n"/>
      <c r="S3" s="59" t="n"/>
    </row>
    <row r="4" ht="44" customHeight="1">
      <c r="A4" s="61" t="n"/>
      <c r="B4" s="61" t="n"/>
      <c r="C4" s="61" t="n"/>
      <c r="D4" s="61" t="n"/>
      <c r="E4" s="61" t="n"/>
      <c r="F4" s="61" t="inlineStr">
        <is>
          <t>T</t>
        </is>
      </c>
      <c r="G4" s="61" t="inlineStr">
        <is>
          <t>S</t>
        </is>
      </c>
      <c r="H4" s="61" t="inlineStr">
        <is>
          <t>Contrib%</t>
        </is>
      </c>
      <c r="I4" s="62" t="inlineStr">
        <is>
          <t>T</t>
        </is>
      </c>
      <c r="J4" s="62" t="inlineStr">
        <is>
          <t>S</t>
        </is>
      </c>
      <c r="K4" s="62" t="inlineStr">
        <is>
          <t>Contrib%</t>
        </is>
      </c>
      <c r="L4" s="62" t="inlineStr">
        <is>
          <t>T</t>
        </is>
      </c>
      <c r="M4" s="62" t="inlineStr">
        <is>
          <t>S</t>
        </is>
      </c>
      <c r="N4" s="62" t="inlineStr">
        <is>
          <t>Contrib%</t>
        </is>
      </c>
      <c r="O4" s="62" t="inlineStr">
        <is>
          <t>T</t>
        </is>
      </c>
      <c r="P4" s="62" t="inlineStr">
        <is>
          <t>S</t>
        </is>
      </c>
      <c r="Q4" s="62" t="inlineStr">
        <is>
          <t>Contrib%</t>
        </is>
      </c>
      <c r="R4" s="60" t="n"/>
      <c r="S4" s="60" t="n"/>
    </row>
    <row r="5" ht="20" customHeight="1">
      <c r="A5" s="63" t="inlineStr">
        <is>
          <t>GRAND TOTAL</t>
        </is>
      </c>
      <c r="B5" s="59" t="n"/>
      <c r="C5" s="59" t="n"/>
      <c r="D5" s="59" t="n"/>
      <c r="E5" s="60" t="n"/>
      <c r="F5" s="64">
        <f>SUM(F12:F64)</f>
        <v/>
      </c>
      <c r="G5" s="64">
        <f>SUM(G12:G64)</f>
        <v/>
      </c>
      <c r="H5" s="65">
        <f>IFERROR(IF(G5&gt;0,F5/G5,"-"),"-")</f>
        <v/>
      </c>
      <c r="I5" s="66">
        <f>SUM(I12:I64)</f>
        <v/>
      </c>
      <c r="J5" s="66">
        <f>SUM(J12:J64)</f>
        <v/>
      </c>
      <c r="K5" s="67">
        <f>IFERROR(IF(J5&gt;0,I5/J5,"-"),"-")</f>
        <v/>
      </c>
      <c r="L5" s="66">
        <f>SUM(L12:L64)</f>
        <v/>
      </c>
      <c r="M5" s="66">
        <f>SUM(M12:M64)</f>
        <v/>
      </c>
      <c r="N5" s="67">
        <f>IFERROR(IF(M5&gt;0,L5/M5,"-"),"-")</f>
        <v/>
      </c>
      <c r="O5" s="66">
        <f>SUM(O12:O64)</f>
        <v/>
      </c>
      <c r="P5" s="66">
        <f>SUM(P12:P64)</f>
        <v/>
      </c>
      <c r="Q5" s="67">
        <f>IFERROR(IF(P5&gt;0,O5/P5,"-"),"-")</f>
        <v/>
      </c>
      <c r="R5" s="60" t="n"/>
      <c r="S5" s="60" t="n"/>
    </row>
    <row r="6" ht="15" customHeight="1">
      <c r="A6" s="68" t="n"/>
      <c r="B6" s="59" t="n"/>
      <c r="C6" s="59" t="n"/>
      <c r="D6" s="59" t="n"/>
      <c r="E6" s="59" t="n"/>
      <c r="F6" s="59" t="n"/>
      <c r="G6" s="59" t="n"/>
      <c r="H6" s="59" t="n"/>
      <c r="I6" s="59" t="n"/>
      <c r="J6" s="59" t="n"/>
      <c r="K6" s="59" t="n"/>
      <c r="L6" s="59" t="n"/>
      <c r="M6" s="59" t="n"/>
      <c r="N6" s="59" t="n"/>
      <c r="O6" s="59" t="n"/>
      <c r="P6" s="59" t="n"/>
      <c r="Q6" s="59" t="n"/>
      <c r="R6" s="59" t="n"/>
      <c r="S6" s="59" t="n"/>
    </row>
    <row r="7" ht="15" customHeight="1">
      <c r="A7" s="60" t="n"/>
      <c r="B7" s="69" t="n"/>
      <c r="C7" s="60" t="n"/>
      <c r="D7" s="69" t="n"/>
      <c r="E7" s="60" t="n"/>
      <c r="F7" s="60" t="n"/>
      <c r="G7" s="60" t="n"/>
      <c r="H7" s="60" t="n"/>
      <c r="I7" s="60" t="n"/>
      <c r="J7" s="60" t="n"/>
      <c r="K7" s="60" t="n"/>
      <c r="L7" s="60" t="n"/>
      <c r="M7" s="60" t="n"/>
      <c r="N7" s="60" t="n"/>
      <c r="O7" s="60" t="n"/>
      <c r="P7" s="60" t="n"/>
      <c r="Q7" s="60" t="n"/>
      <c r="R7" s="60" t="n"/>
      <c r="S7" s="60" t="n"/>
    </row>
    <row r="8" ht="15" customHeight="1">
      <c r="A8" s="60" t="n"/>
      <c r="B8" s="69" t="n"/>
      <c r="C8" s="60" t="n"/>
      <c r="D8" s="69" t="n"/>
      <c r="E8" s="60" t="n"/>
      <c r="F8" s="60" t="n"/>
      <c r="G8" s="60" t="n"/>
      <c r="H8" s="60" t="n"/>
      <c r="I8" s="60" t="n"/>
      <c r="J8" s="60" t="n"/>
      <c r="K8" s="60" t="n"/>
      <c r="L8" s="60" t="n"/>
      <c r="M8" s="60" t="n"/>
      <c r="N8" s="60" t="n"/>
      <c r="O8" s="60" t="n"/>
      <c r="P8" s="60" t="n"/>
      <c r="Q8" s="60" t="n"/>
      <c r="R8" s="60" t="n"/>
      <c r="S8" s="60" t="n"/>
    </row>
    <row r="9" ht="15" customHeight="1">
      <c r="A9" s="60" t="n"/>
      <c r="B9" s="69" t="n"/>
      <c r="C9" s="60" t="n"/>
      <c r="D9" s="69" t="n"/>
      <c r="E9" s="60" t="n"/>
      <c r="F9" s="60" t="n"/>
      <c r="G9" s="60" t="n"/>
      <c r="H9" s="60" t="n"/>
      <c r="I9" s="60" t="n"/>
      <c r="J9" s="60" t="n"/>
      <c r="K9" s="60" t="n"/>
      <c r="L9" s="60" t="n"/>
      <c r="M9" s="60" t="n"/>
      <c r="N9" s="60" t="n"/>
      <c r="O9" s="60" t="n"/>
      <c r="P9" s="60" t="n"/>
      <c r="Q9" s="60" t="n"/>
      <c r="R9" s="60" t="n"/>
      <c r="S9" s="60" t="n"/>
    </row>
    <row r="10" ht="15" customHeight="1">
      <c r="A10" s="60" t="n"/>
      <c r="B10" s="69" t="n"/>
      <c r="C10" s="60" t="n"/>
      <c r="D10" s="69" t="n"/>
      <c r="E10" s="60" t="n"/>
      <c r="F10" s="60" t="n"/>
      <c r="G10" s="60" t="n"/>
      <c r="H10" s="60" t="n"/>
      <c r="I10" s="60" t="n"/>
      <c r="J10" s="60" t="n"/>
      <c r="K10" s="60" t="n"/>
      <c r="L10" s="60" t="n"/>
      <c r="M10" s="60" t="n"/>
      <c r="N10" s="60" t="n"/>
      <c r="O10" s="60" t="n"/>
      <c r="P10" s="60" t="n"/>
      <c r="Q10" s="60" t="n"/>
      <c r="R10" s="60" t="n"/>
      <c r="S10" s="60" t="n"/>
    </row>
    <row r="11" ht="15" customHeight="1">
      <c r="A11" s="68" t="n"/>
      <c r="B11" s="59" t="n"/>
      <c r="C11" s="59" t="n"/>
      <c r="D11" s="59" t="n"/>
      <c r="E11" s="59" t="n"/>
      <c r="F11" s="59" t="n"/>
      <c r="G11" s="59" t="n"/>
      <c r="H11" s="59" t="n"/>
      <c r="I11" s="59" t="n"/>
      <c r="J11" s="59" t="n"/>
      <c r="K11" s="59" t="n"/>
      <c r="L11" s="59" t="n"/>
      <c r="M11" s="59" t="n"/>
      <c r="N11" s="59" t="n"/>
      <c r="O11" s="59" t="n"/>
      <c r="P11" s="59" t="n"/>
      <c r="Q11" s="59" t="n"/>
      <c r="R11" s="59" t="n"/>
      <c r="S11" s="59" t="n"/>
    </row>
    <row r="12" ht="15" customHeight="1">
      <c r="A12" s="70" t="n">
        <v>5</v>
      </c>
      <c r="B12" s="71" t="inlineStr">
        <is>
          <t>Bel Collections</t>
        </is>
      </c>
      <c r="C12" s="70" t="inlineStr">
        <is>
          <t>B00001</t>
        </is>
      </c>
      <c r="D12" s="71" t="inlineStr">
        <is>
          <t>Bergamot bel Amber</t>
        </is>
      </c>
      <c r="E12" s="70" t="n">
        <v>2</v>
      </c>
      <c r="F12" s="72">
        <f>SUM(I12:O12)</f>
        <v/>
      </c>
      <c r="G12" s="72">
        <f>SUM(J12:P12)</f>
        <v/>
      </c>
      <c r="H12" s="73">
        <f>IFERROR(IF(G12&gt;0,F12/G12,"-"),"-")</f>
        <v/>
      </c>
      <c r="I12" s="74" t="n">
        <v>7</v>
      </c>
      <c r="J12" s="74">
        <f>IFERROR(IF(I12&gt;0,H12/I12,"-"),"-")</f>
        <v/>
      </c>
      <c r="K12" s="75" t="n"/>
      <c r="L12" s="74" t="n">
        <v>9</v>
      </c>
      <c r="M12" s="74">
        <f>IFERROR(IF(L12&gt;0,K12/L12,"-"),"-")</f>
        <v/>
      </c>
      <c r="N12" s="75" t="n">
        <v>1</v>
      </c>
      <c r="O12" s="74" t="n">
        <v>4</v>
      </c>
      <c r="P12" s="74">
        <f>IFERROR(IF(O12&gt;0,N12/O12,"-"),"-")</f>
        <v/>
      </c>
      <c r="Q12" s="75" t="n">
        <v>3</v>
      </c>
      <c r="R12" s="60" t="n"/>
      <c r="S12" s="60" t="n"/>
    </row>
    <row r="13" ht="15" customHeight="1">
      <c r="A13" s="70" t="n">
        <v>6</v>
      </c>
      <c r="B13" s="71" t="inlineStr">
        <is>
          <t>Bel Collections</t>
        </is>
      </c>
      <c r="C13" s="70" t="inlineStr">
        <is>
          <t>B00002</t>
        </is>
      </c>
      <c r="D13" s="71" t="inlineStr">
        <is>
          <t>Jasmin bel Musk</t>
        </is>
      </c>
      <c r="E13" s="70" t="n">
        <v>2</v>
      </c>
      <c r="F13" s="72">
        <f>SUM(I13:O13)</f>
        <v/>
      </c>
      <c r="G13" s="72">
        <f>SUM(J13:P13)</f>
        <v/>
      </c>
      <c r="H13" s="73">
        <f>IFERROR(IF(G13&gt;0,F13/G13,"-"),"-")</f>
        <v/>
      </c>
      <c r="I13" s="74" t="n">
        <v>21</v>
      </c>
      <c r="J13" s="74">
        <f>IFERROR(IF(I13&gt;0,H13/I13,"-"),"-")</f>
        <v/>
      </c>
      <c r="K13" s="75" t="n">
        <v>1</v>
      </c>
      <c r="L13" s="74" t="n">
        <v>13</v>
      </c>
      <c r="M13" s="74">
        <f>IFERROR(IF(L13&gt;0,K13/L13,"-"),"-")</f>
        <v/>
      </c>
      <c r="N13" s="75" t="n">
        <v>1</v>
      </c>
      <c r="O13" s="74" t="n">
        <v>24</v>
      </c>
      <c r="P13" s="74">
        <f>IFERROR(IF(O13&gt;0,N13/O13,"-"),"-")</f>
        <v/>
      </c>
      <c r="Q13" s="75" t="n">
        <v>2</v>
      </c>
      <c r="R13" s="60" t="n"/>
      <c r="S13" s="60" t="n"/>
    </row>
    <row r="14" ht="15" customHeight="1">
      <c r="A14" s="70" t="n">
        <v>7</v>
      </c>
      <c r="B14" s="71" t="inlineStr">
        <is>
          <t>Bel Collections</t>
        </is>
      </c>
      <c r="C14" s="70" t="inlineStr">
        <is>
          <t>B00003</t>
        </is>
      </c>
      <c r="D14" s="71" t="inlineStr">
        <is>
          <t>Amber Bel oud</t>
        </is>
      </c>
      <c r="E14" s="70" t="n"/>
      <c r="F14" s="72">
        <f>SUM(I14:O14)</f>
        <v/>
      </c>
      <c r="G14" s="72">
        <f>SUM(J14:P14)</f>
        <v/>
      </c>
      <c r="H14" s="73">
        <f>IFERROR(IF(G14&gt;0,F14/G14,"-"),"-")</f>
        <v/>
      </c>
      <c r="I14" s="74" t="n">
        <v>1</v>
      </c>
      <c r="J14" s="74">
        <f>IFERROR(IF(I14&gt;0,H14/I14,"-"),"-")</f>
        <v/>
      </c>
      <c r="K14" s="75" t="n"/>
      <c r="L14" s="74" t="n">
        <v>1</v>
      </c>
      <c r="M14" s="74">
        <f>IFERROR(IF(L14&gt;0,K14/L14,"-"),"-")</f>
        <v/>
      </c>
      <c r="N14" s="75" t="n"/>
      <c r="O14" s="74" t="n">
        <v>1</v>
      </c>
      <c r="P14" s="74">
        <f>IFERROR(IF(O14&gt;0,N14/O14,"-"),"-")</f>
        <v/>
      </c>
      <c r="Q14" s="75" t="n">
        <v>1</v>
      </c>
      <c r="R14" s="60" t="n"/>
      <c r="S14" s="60" t="n"/>
    </row>
    <row r="15" ht="15" customHeight="1">
      <c r="A15" s="70" t="n">
        <v>8</v>
      </c>
      <c r="B15" s="71" t="inlineStr">
        <is>
          <t>Bel Collections</t>
        </is>
      </c>
      <c r="C15" s="70" t="inlineStr">
        <is>
          <t>B00004</t>
        </is>
      </c>
      <c r="D15" s="71" t="inlineStr">
        <is>
          <t>Meydan</t>
        </is>
      </c>
      <c r="E15" s="70" t="n">
        <v>2</v>
      </c>
      <c r="F15" s="72">
        <f>SUM(I15:O15)</f>
        <v/>
      </c>
      <c r="G15" s="72">
        <f>SUM(J15:P15)</f>
        <v/>
      </c>
      <c r="H15" s="73">
        <f>IFERROR(IF(G15&gt;0,F15/G15,"-"),"-")</f>
        <v/>
      </c>
      <c r="I15" s="74" t="n">
        <v>12</v>
      </c>
      <c r="J15" s="74">
        <f>IFERROR(IF(I15&gt;0,H15/I15,"-"),"-")</f>
        <v/>
      </c>
      <c r="K15" s="75" t="n">
        <v>2</v>
      </c>
      <c r="L15" s="74" t="n">
        <v>19</v>
      </c>
      <c r="M15" s="74">
        <f>IFERROR(IF(L15&gt;0,K15/L15,"-"),"-")</f>
        <v/>
      </c>
      <c r="N15" s="75" t="n">
        <v>1</v>
      </c>
      <c r="O15" s="74" t="n">
        <v>6</v>
      </c>
      <c r="P15" s="74">
        <f>IFERROR(IF(O15&gt;0,N15/O15,"-"),"-")</f>
        <v/>
      </c>
      <c r="Q15" s="75" t="n">
        <v>0</v>
      </c>
      <c r="R15" s="60" t="n"/>
      <c r="S15" s="60" t="n"/>
    </row>
    <row r="16" ht="15" customHeight="1">
      <c r="A16" s="70" t="n">
        <v>9</v>
      </c>
      <c r="B16" s="71" t="inlineStr">
        <is>
          <t>Bel Collections</t>
        </is>
      </c>
      <c r="C16" s="70" t="inlineStr">
        <is>
          <t>B00005</t>
        </is>
      </c>
      <c r="D16" s="71" t="inlineStr">
        <is>
          <t>Mystery</t>
        </is>
      </c>
      <c r="E16" s="70" t="n">
        <v>5</v>
      </c>
      <c r="F16" s="72">
        <f>SUM(I16:O16)</f>
        <v/>
      </c>
      <c r="G16" s="72">
        <f>SUM(J16:P16)</f>
        <v/>
      </c>
      <c r="H16" s="73">
        <f>IFERROR(IF(G16&gt;0,F16/G16,"-"),"-")</f>
        <v/>
      </c>
      <c r="I16" s="74" t="n">
        <v>66</v>
      </c>
      <c r="J16" s="74">
        <f>IFERROR(IF(I16&gt;0,H16/I16,"-"),"-")</f>
        <v/>
      </c>
      <c r="K16" s="75" t="n">
        <v>5</v>
      </c>
      <c r="L16" s="74" t="n">
        <v>69</v>
      </c>
      <c r="M16" s="74">
        <f>IFERROR(IF(L16&gt;0,K16/L16,"-"),"-")</f>
        <v/>
      </c>
      <c r="N16" s="75" t="n">
        <v>5</v>
      </c>
      <c r="O16" s="74" t="n">
        <v>43</v>
      </c>
      <c r="P16" s="74">
        <f>IFERROR(IF(O16&gt;0,N16/O16,"-"),"-")</f>
        <v/>
      </c>
      <c r="Q16" s="75" t="n">
        <v>5</v>
      </c>
      <c r="R16" s="60" t="n"/>
      <c r="S16" s="60" t="n"/>
    </row>
    <row r="17" ht="15" customHeight="1">
      <c r="A17" s="70" t="n">
        <v>10</v>
      </c>
      <c r="B17" s="71" t="inlineStr">
        <is>
          <t>Bel Collections</t>
        </is>
      </c>
      <c r="C17" s="70" t="inlineStr">
        <is>
          <t>B00007</t>
        </is>
      </c>
      <c r="D17" s="71" t="inlineStr">
        <is>
          <t>Peaceful Life</t>
        </is>
      </c>
      <c r="E17" s="70" t="n">
        <v>1</v>
      </c>
      <c r="F17" s="72">
        <f>SUM(I17:O17)</f>
        <v/>
      </c>
      <c r="G17" s="72">
        <f>SUM(J17:P17)</f>
        <v/>
      </c>
      <c r="H17" s="73">
        <f>IFERROR(IF(G17&gt;0,F17/G17,"-"),"-")</f>
        <v/>
      </c>
      <c r="I17" s="74" t="n">
        <v>5</v>
      </c>
      <c r="J17" s="74">
        <f>IFERROR(IF(I17&gt;0,H17/I17,"-"),"-")</f>
        <v/>
      </c>
      <c r="K17" s="75" t="n">
        <v>1</v>
      </c>
      <c r="L17" s="74" t="n">
        <v>4</v>
      </c>
      <c r="M17" s="74">
        <f>IFERROR(IF(L17&gt;0,K17/L17,"-"),"-")</f>
        <v/>
      </c>
      <c r="N17" s="75" t="n"/>
      <c r="O17" s="74" t="n">
        <v>7</v>
      </c>
      <c r="P17" s="74">
        <f>IFERROR(IF(O17&gt;0,N17/O17,"-"),"-")</f>
        <v/>
      </c>
      <c r="Q17" s="75" t="n">
        <v>3</v>
      </c>
      <c r="R17" s="60" t="n"/>
      <c r="S17" s="60" t="n"/>
    </row>
    <row r="18" ht="15" customHeight="1">
      <c r="A18" s="70" t="n">
        <v>11</v>
      </c>
      <c r="B18" s="71" t="inlineStr">
        <is>
          <t>Bel Collections</t>
        </is>
      </c>
      <c r="C18" s="70" t="inlineStr">
        <is>
          <t>B00008</t>
        </is>
      </c>
      <c r="D18" s="71" t="inlineStr">
        <is>
          <t>Midnight Glow</t>
        </is>
      </c>
      <c r="E18" s="70" t="n"/>
      <c r="F18" s="72">
        <f>SUM(I18:O18)</f>
        <v/>
      </c>
      <c r="G18" s="72">
        <f>SUM(J18:P18)</f>
        <v/>
      </c>
      <c r="H18" s="73">
        <f>IFERROR(IF(G18&gt;0,F18/G18,"-"),"-")</f>
        <v/>
      </c>
      <c r="I18" s="74" t="n">
        <v>2</v>
      </c>
      <c r="J18" s="74">
        <f>IFERROR(IF(I18&gt;0,H18/I18,"-"),"-")</f>
        <v/>
      </c>
      <c r="K18" s="75" t="n"/>
      <c r="L18" s="74" t="n">
        <v>1</v>
      </c>
      <c r="M18" s="74">
        <f>IFERROR(IF(L18&gt;0,K18/L18,"-"),"-")</f>
        <v/>
      </c>
      <c r="N18" s="75" t="n"/>
      <c r="O18" s="74" t="n"/>
      <c r="P18" s="74">
        <f>IFERROR(IF(O18&gt;0,N18/O18,"-"),"-")</f>
        <v/>
      </c>
      <c r="Q18" s="75" t="n">
        <v>17</v>
      </c>
      <c r="R18" s="60" t="n"/>
      <c r="S18" s="60" t="n"/>
    </row>
    <row r="19" ht="15" customHeight="1">
      <c r="A19" s="70" t="n">
        <v>12</v>
      </c>
      <c r="B19" s="71" t="inlineStr">
        <is>
          <t>Bel Collections</t>
        </is>
      </c>
      <c r="C19" s="70" t="inlineStr">
        <is>
          <t>B00010</t>
        </is>
      </c>
      <c r="D19" s="71" t="inlineStr">
        <is>
          <t>Sakura</t>
        </is>
      </c>
      <c r="E19" s="70" t="n"/>
      <c r="F19" s="72">
        <f>SUM(I19:O19)</f>
        <v/>
      </c>
      <c r="G19" s="72">
        <f>SUM(J19:P19)</f>
        <v/>
      </c>
      <c r="H19" s="73">
        <f>IFERROR(IF(G19&gt;0,F19/G19,"-"),"-")</f>
        <v/>
      </c>
      <c r="I19" s="74" t="n">
        <v>1</v>
      </c>
      <c r="J19" s="74">
        <f>IFERROR(IF(I19&gt;0,H19/I19,"-"),"-")</f>
        <v/>
      </c>
      <c r="K19" s="75" t="n"/>
      <c r="L19" s="74" t="n">
        <v>6</v>
      </c>
      <c r="M19" s="74">
        <f>IFERROR(IF(L19&gt;0,K19/L19,"-"),"-")</f>
        <v/>
      </c>
      <c r="N19" s="75" t="n"/>
      <c r="O19" s="74" t="n">
        <v>4</v>
      </c>
      <c r="P19" s="74">
        <f>IFERROR(IF(O19&gt;0,N19/O19,"-"),"-")</f>
        <v/>
      </c>
      <c r="Q19" s="75" t="n">
        <v>1</v>
      </c>
      <c r="R19" s="60" t="n"/>
      <c r="S19" s="60" t="n"/>
    </row>
    <row r="20" ht="15" customHeight="1">
      <c r="A20" s="70" t="n">
        <v>13</v>
      </c>
      <c r="B20" s="71" t="inlineStr">
        <is>
          <t>Bel Collections</t>
        </is>
      </c>
      <c r="C20" s="70" t="inlineStr">
        <is>
          <t>B00015</t>
        </is>
      </c>
      <c r="D20" s="71" t="inlineStr">
        <is>
          <t>Hidden Leather</t>
        </is>
      </c>
      <c r="E20" s="70" t="n">
        <v>2</v>
      </c>
      <c r="F20" s="72">
        <f>SUM(I20:O20)</f>
        <v/>
      </c>
      <c r="G20" s="72">
        <f>SUM(J20:P20)</f>
        <v/>
      </c>
      <c r="H20" s="73">
        <f>IFERROR(IF(G20&gt;0,F20/G20,"-"),"-")</f>
        <v/>
      </c>
      <c r="I20" s="74" t="n">
        <v>18</v>
      </c>
      <c r="J20" s="74">
        <f>IFERROR(IF(I20&gt;0,H20/I20,"-"),"-")</f>
        <v/>
      </c>
      <c r="K20" s="75" t="n">
        <v>8</v>
      </c>
      <c r="L20" s="74" t="n">
        <v>60</v>
      </c>
      <c r="M20" s="74">
        <f>IFERROR(IF(L20&gt;0,K20/L20,"-"),"-")</f>
        <v/>
      </c>
      <c r="N20" s="75" t="n">
        <v>3</v>
      </c>
      <c r="O20" s="74" t="n">
        <v>17</v>
      </c>
      <c r="P20" s="74">
        <f>IFERROR(IF(O20&gt;0,N20/O20,"-"),"-")</f>
        <v/>
      </c>
      <c r="Q20" s="75" t="n">
        <v>10</v>
      </c>
      <c r="R20" s="60" t="n"/>
      <c r="S20" s="60" t="n"/>
    </row>
    <row r="21" ht="15" customHeight="1">
      <c r="A21" s="70" t="n">
        <v>14</v>
      </c>
      <c r="B21" s="71" t="inlineStr">
        <is>
          <t>Bel Collections</t>
        </is>
      </c>
      <c r="C21" s="70" t="inlineStr">
        <is>
          <t>B00016</t>
        </is>
      </c>
      <c r="D21" s="71" t="inlineStr">
        <is>
          <t>Mysterious Rose</t>
        </is>
      </c>
      <c r="E21" s="70" t="n">
        <v>1</v>
      </c>
      <c r="F21" s="72">
        <f>SUM(I21:O21)</f>
        <v/>
      </c>
      <c r="G21" s="72">
        <f>SUM(J21:P21)</f>
        <v/>
      </c>
      <c r="H21" s="73">
        <f>IFERROR(IF(G21&gt;0,F21/G21,"-"),"-")</f>
        <v/>
      </c>
      <c r="I21" s="74" t="n">
        <v>15</v>
      </c>
      <c r="J21" s="74">
        <f>IFERROR(IF(I21&gt;0,H21/I21,"-"),"-")</f>
        <v/>
      </c>
      <c r="K21" s="75" t="n">
        <v>1</v>
      </c>
      <c r="L21" s="74" t="n">
        <v>6</v>
      </c>
      <c r="M21" s="74">
        <f>IFERROR(IF(L21&gt;0,K21/L21,"-"),"-")</f>
        <v/>
      </c>
      <c r="N21" s="75" t="n"/>
      <c r="O21" s="74" t="n">
        <v>5</v>
      </c>
      <c r="P21" s="74">
        <f>IFERROR(IF(O21&gt;0,N21/O21,"-"),"-")</f>
        <v/>
      </c>
      <c r="Q21" s="75" t="n">
        <v>1</v>
      </c>
      <c r="R21" s="60" t="n"/>
      <c r="S21" s="60" t="n"/>
    </row>
    <row r="22" ht="15" customHeight="1">
      <c r="A22" s="70" t="n">
        <v>15</v>
      </c>
      <c r="B22" s="71" t="inlineStr">
        <is>
          <t>Bel Collections</t>
        </is>
      </c>
      <c r="C22" s="70" t="inlineStr">
        <is>
          <t>B00017</t>
        </is>
      </c>
      <c r="D22" s="71" t="inlineStr">
        <is>
          <t>Thekrayat</t>
        </is>
      </c>
      <c r="E22" s="70" t="n"/>
      <c r="F22" s="72">
        <f>SUM(I22:O22)</f>
        <v/>
      </c>
      <c r="G22" s="72">
        <f>SUM(J22:P22)</f>
        <v/>
      </c>
      <c r="H22" s="73">
        <f>IFERROR(IF(G22&gt;0,F22/G22,"-"),"-")</f>
        <v/>
      </c>
      <c r="I22" s="74" t="n">
        <v>6</v>
      </c>
      <c r="J22" s="74">
        <f>IFERROR(IF(I22&gt;0,H22/I22,"-"),"-")</f>
        <v/>
      </c>
      <c r="K22" s="75" t="n">
        <v>2</v>
      </c>
      <c r="L22" s="74" t="n">
        <v>9</v>
      </c>
      <c r="M22" s="74">
        <f>IFERROR(IF(L22&gt;0,K22/L22,"-"),"-")</f>
        <v/>
      </c>
      <c r="N22" s="75" t="n"/>
      <c r="O22" s="74" t="n">
        <v>2</v>
      </c>
      <c r="P22" s="74">
        <f>IFERROR(IF(O22&gt;0,N22/O22,"-"),"-")</f>
        <v/>
      </c>
      <c r="Q22" s="75" t="n">
        <v>1</v>
      </c>
      <c r="R22" s="60" t="n"/>
      <c r="S22" s="60" t="n"/>
    </row>
    <row r="23" ht="15" customHeight="1">
      <c r="A23" s="70" t="n">
        <v>16</v>
      </c>
      <c r="B23" s="71" t="inlineStr">
        <is>
          <t>Bel Collections</t>
        </is>
      </c>
      <c r="C23" s="70" t="inlineStr">
        <is>
          <t>B00018</t>
        </is>
      </c>
      <c r="D23" s="71" t="inlineStr">
        <is>
          <t>Hidden Tobacco</t>
        </is>
      </c>
      <c r="E23" s="70" t="n">
        <v>2</v>
      </c>
      <c r="F23" s="72">
        <f>SUM(I23:O23)</f>
        <v/>
      </c>
      <c r="G23" s="72">
        <f>SUM(J23:P23)</f>
        <v/>
      </c>
      <c r="H23" s="73">
        <f>IFERROR(IF(G23&gt;0,F23/G23,"-"),"-")</f>
        <v/>
      </c>
      <c r="I23" s="74" t="n">
        <v>6</v>
      </c>
      <c r="J23" s="74">
        <f>IFERROR(IF(I23&gt;0,H23/I23,"-"),"-")</f>
        <v/>
      </c>
      <c r="K23" s="75" t="n">
        <v>1</v>
      </c>
      <c r="L23" s="74" t="n">
        <v>12</v>
      </c>
      <c r="M23" s="74">
        <f>IFERROR(IF(L23&gt;0,K23/L23,"-"),"-")</f>
        <v/>
      </c>
      <c r="N23" s="75" t="n">
        <v>1</v>
      </c>
      <c r="O23" s="74" t="n">
        <v>9</v>
      </c>
      <c r="P23" s="74">
        <f>IFERROR(IF(O23&gt;0,N23/O23,"-"),"-")</f>
        <v/>
      </c>
      <c r="Q23" s="75" t="n">
        <v>3</v>
      </c>
      <c r="R23" s="60" t="n"/>
      <c r="S23" s="60" t="n"/>
    </row>
    <row r="24" ht="15" customHeight="1">
      <c r="A24" s="70" t="n">
        <v>17</v>
      </c>
      <c r="B24" s="71" t="inlineStr">
        <is>
          <t>Bel Collections</t>
        </is>
      </c>
      <c r="C24" s="70" t="inlineStr">
        <is>
          <t>B00019</t>
        </is>
      </c>
      <c r="D24" s="71" t="inlineStr">
        <is>
          <t>Masters Perfume 100ml</t>
        </is>
      </c>
      <c r="E24" s="70" t="n">
        <v>4</v>
      </c>
      <c r="F24" s="72">
        <f>SUM(I24:O24)</f>
        <v/>
      </c>
      <c r="G24" s="72">
        <f>SUM(J24:P24)</f>
        <v/>
      </c>
      <c r="H24" s="73">
        <f>IFERROR(IF(G24&gt;0,F24/G24,"-"),"-")</f>
        <v/>
      </c>
      <c r="I24" s="74" t="n">
        <v>23</v>
      </c>
      <c r="J24" s="74">
        <f>IFERROR(IF(I24&gt;0,H24/I24,"-"),"-")</f>
        <v/>
      </c>
      <c r="K24" s="75" t="n">
        <v>2</v>
      </c>
      <c r="L24" s="74" t="n">
        <v>21</v>
      </c>
      <c r="M24" s="74">
        <f>IFERROR(IF(L24&gt;0,K24/L24,"-"),"-")</f>
        <v/>
      </c>
      <c r="N24" s="75" t="n">
        <v>3</v>
      </c>
      <c r="O24" s="74" t="n">
        <v>6</v>
      </c>
      <c r="P24" s="74">
        <f>IFERROR(IF(O24&gt;0,N24/O24,"-"),"-")</f>
        <v/>
      </c>
      <c r="Q24" s="75" t="n">
        <v>10</v>
      </c>
      <c r="R24" s="60" t="n"/>
      <c r="S24" s="60" t="n"/>
    </row>
    <row r="25" ht="15" customHeight="1">
      <c r="A25" s="70" t="n">
        <v>18</v>
      </c>
      <c r="B25" s="71" t="inlineStr">
        <is>
          <t>Bel Collections</t>
        </is>
      </c>
      <c r="C25" s="70" t="inlineStr">
        <is>
          <t>B00020</t>
        </is>
      </c>
      <c r="D25" s="71" t="inlineStr">
        <is>
          <t>Masters Signature 100ml Perfume - Tester</t>
        </is>
      </c>
      <c r="E25" s="70" t="n">
        <v>2</v>
      </c>
      <c r="F25" s="72">
        <f>SUM(I25:O25)</f>
        <v/>
      </c>
      <c r="G25" s="72">
        <f>SUM(J25:P25)</f>
        <v/>
      </c>
      <c r="H25" s="73">
        <f>IFERROR(IF(G25&gt;0,F25/G25,"-"),"-")</f>
        <v/>
      </c>
      <c r="I25" s="74" t="n">
        <v>28</v>
      </c>
      <c r="J25" s="74">
        <f>IFERROR(IF(I25&gt;0,H25/I25,"-"),"-")</f>
        <v/>
      </c>
      <c r="K25" s="75" t="n">
        <v>2</v>
      </c>
      <c r="L25" s="74" t="n">
        <v>20</v>
      </c>
      <c r="M25" s="74">
        <f>IFERROR(IF(L25&gt;0,K25/L25,"-"),"-")</f>
        <v/>
      </c>
      <c r="N25" s="75" t="n">
        <v>6</v>
      </c>
      <c r="O25" s="74" t="n">
        <v>16</v>
      </c>
      <c r="P25" s="74">
        <f>IFERROR(IF(O25&gt;0,N25/O25,"-"),"-")</f>
        <v/>
      </c>
      <c r="Q25" s="75" t="n">
        <v>11</v>
      </c>
      <c r="R25" s="60" t="n"/>
      <c r="S25" s="60" t="n"/>
    </row>
    <row r="26" ht="15" customHeight="1">
      <c r="A26" s="70" t="n">
        <v>19</v>
      </c>
      <c r="B26" s="71" t="inlineStr">
        <is>
          <t>Bel Collections</t>
        </is>
      </c>
      <c r="C26" s="70" t="inlineStr">
        <is>
          <t>B00021</t>
        </is>
      </c>
      <c r="D26" s="71" t="inlineStr">
        <is>
          <t>Midnight Bloom 100 ML</t>
        </is>
      </c>
      <c r="E26" s="70" t="n">
        <v>9</v>
      </c>
      <c r="F26" s="72">
        <f>SUM(I26:O26)</f>
        <v/>
      </c>
      <c r="G26" s="72">
        <f>SUM(J26:P26)</f>
        <v/>
      </c>
      <c r="H26" s="73">
        <f>IFERROR(IF(G26&gt;0,F26/G26,"-"),"-")</f>
        <v/>
      </c>
      <c r="I26" s="74" t="n">
        <v>52</v>
      </c>
      <c r="J26" s="74">
        <f>IFERROR(IF(I26&gt;0,H26/I26,"-"),"-")</f>
        <v/>
      </c>
      <c r="K26" s="75" t="n">
        <v>5</v>
      </c>
      <c r="L26" s="74" t="n">
        <v>40</v>
      </c>
      <c r="M26" s="74">
        <f>IFERROR(IF(L26&gt;0,K26/L26,"-"),"-")</f>
        <v/>
      </c>
      <c r="N26" s="75" t="n">
        <v>6</v>
      </c>
      <c r="O26" s="74" t="n">
        <v>31</v>
      </c>
      <c r="P26" s="74">
        <f>IFERROR(IF(O26&gt;0,N26/O26,"-"),"-")</f>
        <v/>
      </c>
      <c r="Q26" s="75" t="n">
        <v>1</v>
      </c>
      <c r="R26" s="60" t="n"/>
      <c r="S26" s="60" t="n"/>
    </row>
    <row r="27" ht="15" customHeight="1">
      <c r="A27" s="76" t="inlineStr">
        <is>
          <t xml:space="preserve">  CABALLO COLLECTION</t>
        </is>
      </c>
      <c r="B27" s="77" t="n"/>
      <c r="C27" s="77" t="n"/>
      <c r="D27" s="77" t="n"/>
      <c r="E27" s="77" t="n"/>
      <c r="F27" s="72">
        <f>SUM(I27:O27)</f>
        <v/>
      </c>
      <c r="G27" s="72">
        <f>SUM(J27:P27)</f>
        <v/>
      </c>
      <c r="H27" s="73">
        <f>IFERROR(IF(G27&gt;0,F27/G27,"-"),"-")</f>
        <v/>
      </c>
      <c r="I27" s="74" t="n"/>
      <c r="J27" s="74">
        <f>IFERROR(IF(I27&gt;0,H27/I27,"-"),"-")</f>
        <v/>
      </c>
      <c r="K27" s="75" t="n"/>
      <c r="L27" s="74" t="n"/>
      <c r="M27" s="74">
        <f>IFERROR(IF(L27&gt;0,K27/L27,"-"),"-")</f>
        <v/>
      </c>
      <c r="N27" s="75" t="n"/>
      <c r="O27" s="74" t="n"/>
      <c r="P27" s="74">
        <f>IFERROR(IF(O27&gt;0,N27/O27,"-"),"-")</f>
        <v/>
      </c>
      <c r="Q27" s="75" t="n"/>
      <c r="R27" s="59" t="n"/>
      <c r="S27" s="59" t="n"/>
    </row>
    <row r="28" ht="15" customHeight="1">
      <c r="A28" s="70" t="n">
        <v>20</v>
      </c>
      <c r="B28" s="71" t="inlineStr">
        <is>
          <t>Caballo Collection</t>
        </is>
      </c>
      <c r="C28" s="70" t="inlineStr">
        <is>
          <t>C00004</t>
        </is>
      </c>
      <c r="D28" s="71" t="inlineStr">
        <is>
          <t>Maroon Perfume 100 ML</t>
        </is>
      </c>
      <c r="E28" s="70" t="n"/>
      <c r="F28" s="72">
        <f>SUM(I28:O28)</f>
        <v/>
      </c>
      <c r="G28" s="72">
        <f>SUM(J28:P28)</f>
        <v/>
      </c>
      <c r="H28" s="73">
        <f>IFERROR(IF(G28&gt;0,F28/G28,"-"),"-")</f>
        <v/>
      </c>
      <c r="I28" s="74" t="n">
        <v>3</v>
      </c>
      <c r="J28" s="74">
        <f>IFERROR(IF(I28&gt;0,H28/I28,"-"),"-")</f>
        <v/>
      </c>
      <c r="K28" s="75" t="n">
        <v>1</v>
      </c>
      <c r="L28" s="74" t="n">
        <v>12</v>
      </c>
      <c r="M28" s="74">
        <f>IFERROR(IF(L28&gt;0,K28/L28,"-"),"-")</f>
        <v/>
      </c>
      <c r="N28" s="75" t="n">
        <v>1</v>
      </c>
      <c r="O28" s="74" t="n">
        <v>4</v>
      </c>
      <c r="P28" s="74">
        <f>IFERROR(IF(O28&gt;0,N28/O28,"-"),"-")</f>
        <v/>
      </c>
      <c r="Q28" s="75" t="n">
        <v>1</v>
      </c>
      <c r="R28" s="60" t="n"/>
      <c r="S28" s="60" t="n"/>
    </row>
    <row r="29" ht="15" customHeight="1">
      <c r="A29" s="70" t="n">
        <v>21</v>
      </c>
      <c r="B29" s="71" t="inlineStr">
        <is>
          <t>Caballo Collection</t>
        </is>
      </c>
      <c r="C29" s="70" t="inlineStr">
        <is>
          <t>C00010</t>
        </is>
      </c>
      <c r="D29" s="71" t="inlineStr">
        <is>
          <t>Maroon Intense</t>
        </is>
      </c>
      <c r="E29" s="70" t="n"/>
      <c r="F29" s="72">
        <f>SUM(I29:O29)</f>
        <v/>
      </c>
      <c r="G29" s="72">
        <f>SUM(J29:P29)</f>
        <v/>
      </c>
      <c r="H29" s="73">
        <f>IFERROR(IF(G29&gt;0,F29/G29,"-"),"-")</f>
        <v/>
      </c>
      <c r="I29" s="74" t="n">
        <v>1</v>
      </c>
      <c r="J29" s="74">
        <f>IFERROR(IF(I29&gt;0,H29/I29,"-"),"-")</f>
        <v/>
      </c>
      <c r="K29" s="75" t="n">
        <v>1</v>
      </c>
      <c r="L29" s="74" t="n">
        <v>4</v>
      </c>
      <c r="M29" s="74">
        <f>IFERROR(IF(L29&gt;0,K29/L29,"-"),"-")</f>
        <v/>
      </c>
      <c r="N29" s="75" t="n"/>
      <c r="O29" s="74" t="n"/>
      <c r="P29" s="74">
        <f>IFERROR(IF(O29&gt;0,N29/O29,"-"),"-")</f>
        <v/>
      </c>
      <c r="Q29" s="75" t="n">
        <v>1</v>
      </c>
      <c r="R29" s="60" t="n"/>
      <c r="S29" s="60" t="n"/>
    </row>
    <row r="30" ht="15" customHeight="1">
      <c r="A30" s="70" t="n">
        <v>22</v>
      </c>
      <c r="B30" s="71" t="inlineStr">
        <is>
          <t>Caballo Collection</t>
        </is>
      </c>
      <c r="C30" s="70" t="inlineStr">
        <is>
          <t>C00011</t>
        </is>
      </c>
      <c r="D30" s="71" t="inlineStr">
        <is>
          <t>Violet Perfume 100ml</t>
        </is>
      </c>
      <c r="E30" s="70" t="n">
        <v>1</v>
      </c>
      <c r="F30" s="72">
        <f>SUM(I30:O30)</f>
        <v/>
      </c>
      <c r="G30" s="72">
        <f>SUM(J30:P30)</f>
        <v/>
      </c>
      <c r="H30" s="73">
        <f>IFERROR(IF(G30&gt;0,F30/G30,"-"),"-")</f>
        <v/>
      </c>
      <c r="I30" s="74" t="n"/>
      <c r="J30" s="74">
        <f>IFERROR(IF(I30&gt;0,H30/I30,"-"),"-")</f>
        <v/>
      </c>
      <c r="K30" s="75" t="n">
        <v>2</v>
      </c>
      <c r="L30" s="74" t="n">
        <v>2</v>
      </c>
      <c r="M30" s="74">
        <f>IFERROR(IF(L30&gt;0,K30/L30,"-"),"-")</f>
        <v/>
      </c>
      <c r="N30" s="75" t="n">
        <v>1</v>
      </c>
      <c r="O30" s="74" t="n"/>
      <c r="P30" s="74">
        <f>IFERROR(IF(O30&gt;0,N30/O30,"-"),"-")</f>
        <v/>
      </c>
      <c r="Q30" s="75" t="n">
        <v>0</v>
      </c>
      <c r="R30" s="60" t="n"/>
      <c r="S30" s="60" t="n"/>
    </row>
    <row r="31" ht="15" customHeight="1">
      <c r="A31" s="70" t="n">
        <v>23</v>
      </c>
      <c r="B31" s="71" t="inlineStr">
        <is>
          <t>Caballo Collection</t>
        </is>
      </c>
      <c r="C31" s="70" t="inlineStr">
        <is>
          <t>C00012</t>
        </is>
      </c>
      <c r="D31" s="71" t="inlineStr">
        <is>
          <t>Navy Perfume 100ml</t>
        </is>
      </c>
      <c r="E31" s="70" t="n"/>
      <c r="F31" s="72">
        <f>SUM(I31:O31)</f>
        <v/>
      </c>
      <c r="G31" s="72">
        <f>SUM(J31:P31)</f>
        <v/>
      </c>
      <c r="H31" s="73">
        <f>IFERROR(IF(G31&gt;0,F31/G31,"-"),"-")</f>
        <v/>
      </c>
      <c r="I31" s="74" t="n"/>
      <c r="J31" s="74">
        <f>IFERROR(IF(I31&gt;0,H31/I31,"-"),"-")</f>
        <v/>
      </c>
      <c r="K31" s="75" t="n">
        <v>1</v>
      </c>
      <c r="L31" s="74" t="n"/>
      <c r="M31" s="74">
        <f>IFERROR(IF(L31&gt;0,K31/L31,"-"),"-")</f>
        <v/>
      </c>
      <c r="N31" s="75" t="n"/>
      <c r="O31" s="74" t="n"/>
      <c r="P31" s="74">
        <f>IFERROR(IF(O31&gt;0,N31/O31,"-"),"-")</f>
        <v/>
      </c>
      <c r="Q31" s="75" t="n">
        <v>0</v>
      </c>
      <c r="R31" s="60" t="n"/>
      <c r="S31" s="60" t="n"/>
    </row>
    <row r="32" ht="15" customHeight="1">
      <c r="A32" s="70" t="n">
        <v>24</v>
      </c>
      <c r="B32" s="71" t="inlineStr">
        <is>
          <t>Caballo Collection</t>
        </is>
      </c>
      <c r="C32" s="70" t="inlineStr">
        <is>
          <t>C00013</t>
        </is>
      </c>
      <c r="D32" s="71" t="inlineStr">
        <is>
          <t>White Overdose Perfume 100ml</t>
        </is>
      </c>
      <c r="E32" s="70" t="n">
        <v>1</v>
      </c>
      <c r="F32" s="72">
        <f>SUM(I32:O32)</f>
        <v/>
      </c>
      <c r="G32" s="72">
        <f>SUM(J32:P32)</f>
        <v/>
      </c>
      <c r="H32" s="73">
        <f>IFERROR(IF(G32&gt;0,F32/G32,"-"),"-")</f>
        <v/>
      </c>
      <c r="I32" s="74" t="n">
        <v>2</v>
      </c>
      <c r="J32" s="74">
        <f>IFERROR(IF(I32&gt;0,H32/I32,"-"),"-")</f>
        <v/>
      </c>
      <c r="K32" s="75" t="n">
        <v>1</v>
      </c>
      <c r="L32" s="74" t="n">
        <v>1</v>
      </c>
      <c r="M32" s="74">
        <f>IFERROR(IF(L32&gt;0,K32/L32,"-"),"-")</f>
        <v/>
      </c>
      <c r="N32" s="75" t="n"/>
      <c r="O32" s="74" t="n">
        <v>3</v>
      </c>
      <c r="P32" s="74">
        <f>IFERROR(IF(O32&gt;0,N32/O32,"-"),"-")</f>
        <v/>
      </c>
      <c r="Q32" s="75" t="n">
        <v>1</v>
      </c>
      <c r="R32" s="60" t="n"/>
      <c r="S32" s="60" t="n"/>
    </row>
    <row r="33" ht="15" customHeight="1">
      <c r="A33" s="76" t="inlineStr">
        <is>
          <t xml:space="preserve">  DAKHOON COLLECTION</t>
        </is>
      </c>
      <c r="B33" s="77" t="n"/>
      <c r="C33" s="77" t="n"/>
      <c r="D33" s="77" t="n"/>
      <c r="E33" s="77" t="n"/>
      <c r="F33" s="72">
        <f>SUM(I33:O33)</f>
        <v/>
      </c>
      <c r="G33" s="72">
        <f>SUM(J33:P33)</f>
        <v/>
      </c>
      <c r="H33" s="73">
        <f>IFERROR(IF(G33&gt;0,F33/G33,"-"),"-")</f>
        <v/>
      </c>
      <c r="I33" s="74" t="n">
        <v>2</v>
      </c>
      <c r="J33" s="74">
        <f>IFERROR(IF(I33&gt;0,H33/I33,"-"),"-")</f>
        <v/>
      </c>
      <c r="K33" s="75" t="n"/>
      <c r="L33" s="74" t="n">
        <v>2</v>
      </c>
      <c r="M33" s="74">
        <f>IFERROR(IF(L33&gt;0,K33/L33,"-"),"-")</f>
        <v/>
      </c>
      <c r="N33" s="75" t="n"/>
      <c r="O33" s="74" t="n">
        <v>3</v>
      </c>
      <c r="P33" s="74">
        <f>IFERROR(IF(O33&gt;0,N33/O33,"-"),"-")</f>
        <v/>
      </c>
      <c r="Q33" s="75" t="n"/>
      <c r="R33" s="59" t="n"/>
      <c r="S33" s="59" t="n"/>
    </row>
    <row r="34" ht="15" customHeight="1">
      <c r="A34" s="70" t="n">
        <v>25</v>
      </c>
      <c r="B34" s="71" t="inlineStr">
        <is>
          <t>Dakhoon Collection</t>
        </is>
      </c>
      <c r="C34" s="70" t="inlineStr">
        <is>
          <t>D00001</t>
        </is>
      </c>
      <c r="D34" s="71" t="inlineStr">
        <is>
          <t>Dakhoon Al Emarat</t>
        </is>
      </c>
      <c r="E34" s="70" t="n">
        <v>1</v>
      </c>
      <c r="F34" s="72">
        <f>SUM(I34:O34)</f>
        <v/>
      </c>
      <c r="G34" s="72">
        <f>SUM(J34:P34)</f>
        <v/>
      </c>
      <c r="H34" s="73">
        <f>IFERROR(IF(G34&gt;0,F34/G34,"-"),"-")</f>
        <v/>
      </c>
      <c r="I34" s="74" t="n">
        <v>2</v>
      </c>
      <c r="J34" s="74">
        <f>IFERROR(IF(I34&gt;0,H34/I34,"-"),"-")</f>
        <v/>
      </c>
      <c r="K34" s="75" t="n">
        <v>1</v>
      </c>
      <c r="L34" s="74" t="n">
        <v>3</v>
      </c>
      <c r="M34" s="74">
        <f>IFERROR(IF(L34&gt;0,K34/L34,"-"),"-")</f>
        <v/>
      </c>
      <c r="N34" s="75" t="n">
        <v>1</v>
      </c>
      <c r="O34" s="74" t="n">
        <v>4</v>
      </c>
      <c r="P34" s="74">
        <f>IFERROR(IF(O34&gt;0,N34/O34,"-"),"-")</f>
        <v/>
      </c>
      <c r="Q34" s="75" t="n">
        <v>1</v>
      </c>
      <c r="R34" s="60" t="n"/>
      <c r="S34" s="60" t="n"/>
    </row>
    <row r="35" ht="15" customHeight="1">
      <c r="A35" s="70" t="n">
        <v>26</v>
      </c>
      <c r="B35" s="71" t="inlineStr">
        <is>
          <t>Dakhoon Collection</t>
        </is>
      </c>
      <c r="C35" s="70" t="inlineStr">
        <is>
          <t>D00003</t>
        </is>
      </c>
      <c r="D35" s="71" t="inlineStr">
        <is>
          <t>Dakhoon Badia</t>
        </is>
      </c>
      <c r="E35" s="70" t="n">
        <v>2</v>
      </c>
      <c r="F35" s="72">
        <f>SUM(I35:O35)</f>
        <v/>
      </c>
      <c r="G35" s="72">
        <f>SUM(J35:P35)</f>
        <v/>
      </c>
      <c r="H35" s="73">
        <f>IFERROR(IF(G35&gt;0,F35/G35,"-"),"-")</f>
        <v/>
      </c>
      <c r="I35" s="74" t="n">
        <v>18</v>
      </c>
      <c r="J35" s="74">
        <f>IFERROR(IF(I35&gt;0,H35/I35,"-"),"-")</f>
        <v/>
      </c>
      <c r="K35" s="75" t="n">
        <v>1</v>
      </c>
      <c r="L35" s="74" t="n">
        <v>16</v>
      </c>
      <c r="M35" s="74">
        <f>IFERROR(IF(L35&gt;0,K35/L35,"-"),"-")</f>
        <v/>
      </c>
      <c r="N35" s="75" t="n">
        <v>2</v>
      </c>
      <c r="O35" s="74" t="n">
        <v>16</v>
      </c>
      <c r="P35" s="74">
        <f>IFERROR(IF(O35&gt;0,N35/O35,"-"),"-")</f>
        <v/>
      </c>
      <c r="Q35" s="75" t="n">
        <v>3</v>
      </c>
      <c r="R35" s="60" t="n"/>
      <c r="S35" s="60" t="n"/>
    </row>
    <row r="36" ht="15" customHeight="1">
      <c r="A36" s="70" t="n">
        <v>27</v>
      </c>
      <c r="B36" s="71" t="inlineStr">
        <is>
          <t>Dakhoon Collection</t>
        </is>
      </c>
      <c r="C36" s="70" t="inlineStr">
        <is>
          <t>D00004</t>
        </is>
      </c>
      <c r="D36" s="71" t="inlineStr">
        <is>
          <t>Dakhoon Al Dar</t>
        </is>
      </c>
      <c r="E36" s="70" t="n"/>
      <c r="F36" s="72">
        <f>SUM(I36:O36)</f>
        <v/>
      </c>
      <c r="G36" s="72">
        <f>SUM(J36:P36)</f>
        <v/>
      </c>
      <c r="H36" s="73">
        <f>IFERROR(IF(G36&gt;0,F36/G36,"-"),"-")</f>
        <v/>
      </c>
      <c r="I36" s="74" t="n">
        <v>1</v>
      </c>
      <c r="J36" s="74">
        <f>IFERROR(IF(I36&gt;0,H36/I36,"-"),"-")</f>
        <v/>
      </c>
      <c r="K36" s="75" t="n"/>
      <c r="L36" s="74" t="n">
        <v>3</v>
      </c>
      <c r="M36" s="74">
        <f>IFERROR(IF(L36&gt;0,K36/L36,"-"),"-")</f>
        <v/>
      </c>
      <c r="N36" s="75" t="n"/>
      <c r="O36" s="74" t="n">
        <v>3</v>
      </c>
      <c r="P36" s="74">
        <f>IFERROR(IF(O36&gt;0,N36/O36,"-"),"-")</f>
        <v/>
      </c>
      <c r="Q36" s="75" t="n">
        <v>0</v>
      </c>
      <c r="R36" s="60" t="n"/>
      <c r="S36" s="60" t="n"/>
    </row>
    <row r="37" ht="15" customHeight="1">
      <c r="A37" s="70" t="n">
        <v>28</v>
      </c>
      <c r="B37" s="71" t="inlineStr">
        <is>
          <t>Dakhoon Collection</t>
        </is>
      </c>
      <c r="C37" s="70" t="inlineStr">
        <is>
          <t>D00008</t>
        </is>
      </c>
      <c r="D37" s="71" t="inlineStr">
        <is>
          <t>Dakhoon Retaj</t>
        </is>
      </c>
      <c r="E37" s="70" t="n"/>
      <c r="F37" s="72">
        <f>SUM(I37:O37)</f>
        <v/>
      </c>
      <c r="G37" s="72">
        <f>SUM(J37:P37)</f>
        <v/>
      </c>
      <c r="H37" s="73">
        <f>IFERROR(IF(G37&gt;0,F37/G37,"-"),"-")</f>
        <v/>
      </c>
      <c r="I37" s="74" t="n">
        <v>4</v>
      </c>
      <c r="J37" s="74">
        <f>IFERROR(IF(I37&gt;0,H37/I37,"-"),"-")</f>
        <v/>
      </c>
      <c r="K37" s="75" t="n"/>
      <c r="L37" s="74" t="n">
        <v>11</v>
      </c>
      <c r="M37" s="74">
        <f>IFERROR(IF(L37&gt;0,K37/L37,"-"),"-")</f>
        <v/>
      </c>
      <c r="N37" s="75" t="n"/>
      <c r="O37" s="74" t="n">
        <v>4</v>
      </c>
      <c r="P37" s="74">
        <f>IFERROR(IF(O37&gt;0,N37/O37,"-"),"-")</f>
        <v/>
      </c>
      <c r="Q37" s="75" t="n">
        <v>0</v>
      </c>
      <c r="R37" s="60" t="n"/>
      <c r="S37" s="60" t="n"/>
    </row>
    <row r="38" ht="15" customHeight="1">
      <c r="A38" s="76" t="inlineStr">
        <is>
          <t xml:space="preserve">  OUD COLLECTION</t>
        </is>
      </c>
      <c r="B38" s="77" t="n"/>
      <c r="C38" s="77" t="n"/>
      <c r="D38" s="77" t="n"/>
      <c r="E38" s="77" t="n"/>
      <c r="F38" s="72">
        <f>SUM(I38:O38)</f>
        <v/>
      </c>
      <c r="G38" s="72">
        <f>SUM(J38:P38)</f>
        <v/>
      </c>
      <c r="H38" s="73">
        <f>IFERROR(IF(G38&gt;0,F38/G38,"-"),"-")</f>
        <v/>
      </c>
      <c r="I38" s="74" t="n"/>
      <c r="J38" s="74">
        <f>IFERROR(IF(I38&gt;0,H38/I38,"-"),"-")</f>
        <v/>
      </c>
      <c r="K38" s="75" t="n">
        <v>1</v>
      </c>
      <c r="L38" s="74" t="n">
        <v>10</v>
      </c>
      <c r="M38" s="74">
        <f>IFERROR(IF(L38&gt;0,K38/L38,"-"),"-")</f>
        <v/>
      </c>
      <c r="N38" s="75" t="n">
        <v>1</v>
      </c>
      <c r="O38" s="74" t="n">
        <v>8</v>
      </c>
      <c r="P38" s="74">
        <f>IFERROR(IF(O38&gt;0,N38/O38,"-"),"-")</f>
        <v/>
      </c>
      <c r="Q38" s="75" t="n"/>
      <c r="R38" s="59" t="n"/>
      <c r="S38" s="59" t="n"/>
    </row>
    <row r="39" ht="15" customHeight="1">
      <c r="A39" s="70" t="n">
        <v>29</v>
      </c>
      <c r="B39" s="71" t="inlineStr">
        <is>
          <t>Oud Collection</t>
        </is>
      </c>
      <c r="C39" s="70" t="inlineStr">
        <is>
          <t>O00001</t>
        </is>
      </c>
      <c r="D39" s="71" t="inlineStr">
        <is>
          <t>Oud Amiri</t>
        </is>
      </c>
      <c r="E39" s="70" t="n"/>
      <c r="F39" s="72">
        <f>SUM(I39:O39)</f>
        <v/>
      </c>
      <c r="G39" s="72">
        <f>SUM(J39:P39)</f>
        <v/>
      </c>
      <c r="H39" s="73">
        <f>IFERROR(IF(G39&gt;0,F39/G39,"-"),"-")</f>
        <v/>
      </c>
      <c r="I39" s="74" t="n"/>
      <c r="J39" s="74">
        <f>IFERROR(IF(I39&gt;0,H39/I39,"-"),"-")</f>
        <v/>
      </c>
      <c r="K39" s="75" t="n"/>
      <c r="L39" s="74" t="n"/>
      <c r="M39" s="74">
        <f>IFERROR(IF(L39&gt;0,K39/L39,"-"),"-")</f>
        <v/>
      </c>
      <c r="N39" s="75" t="n"/>
      <c r="O39" s="74" t="n"/>
      <c r="P39" s="74">
        <f>IFERROR(IF(O39&gt;0,N39/O39,"-"),"-")</f>
        <v/>
      </c>
      <c r="Q39" s="75" t="n">
        <v>0</v>
      </c>
      <c r="R39" s="60" t="n"/>
      <c r="S39" s="60" t="n"/>
    </row>
    <row r="40" ht="15" customHeight="1">
      <c r="A40" s="70" t="n">
        <v>30</v>
      </c>
      <c r="B40" s="71" t="inlineStr">
        <is>
          <t>Oud Collection</t>
        </is>
      </c>
      <c r="C40" s="70" t="inlineStr">
        <is>
          <t>O00002</t>
        </is>
      </c>
      <c r="D40" s="71" t="inlineStr">
        <is>
          <t>Oud Meydan</t>
        </is>
      </c>
      <c r="E40" s="70" t="n">
        <v>1</v>
      </c>
      <c r="F40" s="72">
        <f>SUM(I40:O40)</f>
        <v/>
      </c>
      <c r="G40" s="72">
        <f>SUM(J40:P40)</f>
        <v/>
      </c>
      <c r="H40" s="73">
        <f>IFERROR(IF(G40&gt;0,F40/G40,"-"),"-")</f>
        <v/>
      </c>
      <c r="I40" s="74" t="n"/>
      <c r="J40" s="74">
        <f>IFERROR(IF(I40&gt;0,H40/I40,"-"),"-")</f>
        <v/>
      </c>
      <c r="K40" s="75" t="n"/>
      <c r="L40" s="74" t="n"/>
      <c r="M40" s="74">
        <f>IFERROR(IF(L40&gt;0,K40/L40,"-"),"-")</f>
        <v/>
      </c>
      <c r="N40" s="75" t="n"/>
      <c r="O40" s="74" t="n">
        <v>1</v>
      </c>
      <c r="P40" s="74">
        <f>IFERROR(IF(O40&gt;0,N40/O40,"-"),"-")</f>
        <v/>
      </c>
      <c r="Q40" s="75" t="n">
        <v>2</v>
      </c>
      <c r="R40" s="60" t="n"/>
      <c r="S40" s="60" t="n"/>
    </row>
    <row r="41" ht="15" customHeight="1">
      <c r="A41" s="70" t="n">
        <v>31</v>
      </c>
      <c r="B41" s="71" t="inlineStr">
        <is>
          <t>Oud Collection</t>
        </is>
      </c>
      <c r="C41" s="70" t="inlineStr">
        <is>
          <t>O00003</t>
        </is>
      </c>
      <c r="D41" s="71" t="inlineStr">
        <is>
          <t>Oud Al Emarat</t>
        </is>
      </c>
      <c r="E41" s="70" t="n"/>
      <c r="F41" s="72">
        <f>SUM(I41:O41)</f>
        <v/>
      </c>
      <c r="G41" s="72">
        <f>SUM(J41:P41)</f>
        <v/>
      </c>
      <c r="H41" s="73">
        <f>IFERROR(IF(G41&gt;0,F41/G41,"-"),"-")</f>
        <v/>
      </c>
      <c r="I41" s="74" t="n"/>
      <c r="J41" s="74">
        <f>IFERROR(IF(I41&gt;0,H41/I41,"-"),"-")</f>
        <v/>
      </c>
      <c r="K41" s="75" t="n"/>
      <c r="L41" s="74" t="n"/>
      <c r="M41" s="74">
        <f>IFERROR(IF(L41&gt;0,K41/L41,"-"),"-")</f>
        <v/>
      </c>
      <c r="N41" s="75" t="n"/>
      <c r="O41" s="74" t="n">
        <v>1</v>
      </c>
      <c r="P41" s="74">
        <f>IFERROR(IF(O41&gt;0,N41/O41,"-"),"-")</f>
        <v/>
      </c>
      <c r="Q41" s="75" t="n">
        <v>0</v>
      </c>
      <c r="R41" s="60" t="n"/>
      <c r="S41" s="60" t="n"/>
    </row>
    <row r="42" ht="15" customHeight="1">
      <c r="A42" s="70" t="n">
        <v>32</v>
      </c>
      <c r="B42" s="71" t="inlineStr">
        <is>
          <t>Oud Collection</t>
        </is>
      </c>
      <c r="C42" s="70" t="inlineStr">
        <is>
          <t>O00006</t>
        </is>
      </c>
      <c r="D42" s="71" t="inlineStr">
        <is>
          <t>Oud Al Fakhamah</t>
        </is>
      </c>
      <c r="E42" s="70" t="n"/>
      <c r="F42" s="72">
        <f>SUM(I42:O42)</f>
        <v/>
      </c>
      <c r="G42" s="72">
        <f>SUM(J42:P42)</f>
        <v/>
      </c>
      <c r="H42" s="73">
        <f>IFERROR(IF(G42&gt;0,F42/G42,"-"),"-")</f>
        <v/>
      </c>
      <c r="I42" s="74" t="n"/>
      <c r="J42" s="74">
        <f>IFERROR(IF(I42&gt;0,H42/I42,"-"),"-")</f>
        <v/>
      </c>
      <c r="K42" s="75" t="n"/>
      <c r="L42" s="74" t="n"/>
      <c r="M42" s="74">
        <f>IFERROR(IF(L42&gt;0,K42/L42,"-"),"-")</f>
        <v/>
      </c>
      <c r="N42" s="75" t="n"/>
      <c r="O42" s="74" t="n">
        <v>1</v>
      </c>
      <c r="P42" s="74">
        <f>IFERROR(IF(O42&gt;0,N42/O42,"-"),"-")</f>
        <v/>
      </c>
      <c r="Q42" s="75" t="n">
        <v>0</v>
      </c>
      <c r="R42" s="60" t="n"/>
      <c r="S42" s="60" t="n"/>
    </row>
    <row r="43" ht="15" customHeight="1">
      <c r="A43" s="76" t="inlineStr">
        <is>
          <t xml:space="preserve">  FUTURE COLLECTION</t>
        </is>
      </c>
      <c r="B43" s="77" t="n"/>
      <c r="C43" s="77" t="n"/>
      <c r="D43" s="77" t="n"/>
      <c r="E43" s="77" t="n">
        <v>1</v>
      </c>
      <c r="F43" s="72">
        <f>SUM(I43:O43)</f>
        <v/>
      </c>
      <c r="G43" s="72">
        <f>SUM(J43:P43)</f>
        <v/>
      </c>
      <c r="H43" s="73">
        <f>IFERROR(IF(G43&gt;0,F43/G43,"-"),"-")</f>
        <v/>
      </c>
      <c r="I43" s="74" t="n">
        <v>1</v>
      </c>
      <c r="J43" s="74">
        <f>IFERROR(IF(I43&gt;0,H43/I43,"-"),"-")</f>
        <v/>
      </c>
      <c r="K43" s="75" t="n"/>
      <c r="L43" s="74" t="n">
        <v>1</v>
      </c>
      <c r="M43" s="74">
        <f>IFERROR(IF(L43&gt;0,K43/L43,"-"),"-")</f>
        <v/>
      </c>
      <c r="N43" s="75" t="n"/>
      <c r="O43" s="74" t="n">
        <v>3</v>
      </c>
      <c r="P43" s="74">
        <f>IFERROR(IF(O43&gt;0,N43/O43,"-"),"-")</f>
        <v/>
      </c>
      <c r="Q43" s="75" t="n"/>
      <c r="R43" s="59" t="n"/>
      <c r="S43" s="59" t="n"/>
    </row>
    <row r="44" ht="15" customHeight="1">
      <c r="A44" s="70" t="n">
        <v>33</v>
      </c>
      <c r="B44" s="71" t="inlineStr">
        <is>
          <t>Future Collection</t>
        </is>
      </c>
      <c r="C44" s="70" t="inlineStr">
        <is>
          <t>SP0037</t>
        </is>
      </c>
      <c r="D44" s="71" t="inlineStr">
        <is>
          <t>Future Bakhoor 100 ml Perfume</t>
        </is>
      </c>
      <c r="E44" s="70" t="n"/>
      <c r="F44" s="72">
        <f>SUM(I44:O44)</f>
        <v/>
      </c>
      <c r="G44" s="72">
        <f>SUM(J44:P44)</f>
        <v/>
      </c>
      <c r="H44" s="73">
        <f>IFERROR(IF(G44&gt;0,F44/G44,"-"),"-")</f>
        <v/>
      </c>
      <c r="I44" s="74" t="n">
        <v>3</v>
      </c>
      <c r="J44" s="74">
        <f>IFERROR(IF(I44&gt;0,H44/I44,"-"),"-")</f>
        <v/>
      </c>
      <c r="K44" s="75" t="n"/>
      <c r="L44" s="74" t="n">
        <v>2</v>
      </c>
      <c r="M44" s="74">
        <f>IFERROR(IF(L44&gt;0,K44/L44,"-"),"-")</f>
        <v/>
      </c>
      <c r="N44" s="75" t="n"/>
      <c r="O44" s="74" t="n">
        <v>4</v>
      </c>
      <c r="P44" s="74">
        <f>IFERROR(IF(O44&gt;0,N44/O44,"-"),"-")</f>
        <v/>
      </c>
      <c r="Q44" s="75" t="n">
        <v>2</v>
      </c>
      <c r="R44" s="60" t="n"/>
      <c r="S44" s="60" t="n"/>
    </row>
    <row r="45" ht="15" customHeight="1">
      <c r="A45" s="70" t="n">
        <v>34</v>
      </c>
      <c r="B45" s="71" t="inlineStr">
        <is>
          <t>Future Collection</t>
        </is>
      </c>
      <c r="C45" s="70" t="inlineStr">
        <is>
          <t>SP0038</t>
        </is>
      </c>
      <c r="D45" s="71" t="inlineStr">
        <is>
          <t>Future Oud 100 ml Perfume</t>
        </is>
      </c>
      <c r="E45" s="70" t="n">
        <v>1</v>
      </c>
      <c r="F45" s="72">
        <f>SUM(I45:O45)</f>
        <v/>
      </c>
      <c r="G45" s="72">
        <f>SUM(J45:P45)</f>
        <v/>
      </c>
      <c r="H45" s="73">
        <f>IFERROR(IF(G45&gt;0,F45/G45,"-"),"-")</f>
        <v/>
      </c>
      <c r="I45" s="74" t="n">
        <v>1</v>
      </c>
      <c r="J45" s="74">
        <f>IFERROR(IF(I45&gt;0,H45/I45,"-"),"-")</f>
        <v/>
      </c>
      <c r="K45" s="75" t="n"/>
      <c r="L45" s="74" t="n">
        <v>5</v>
      </c>
      <c r="M45" s="74">
        <f>IFERROR(IF(L45&gt;0,K45/L45,"-"),"-")</f>
        <v/>
      </c>
      <c r="N45" s="75" t="n"/>
      <c r="O45" s="74" t="n">
        <v>2</v>
      </c>
      <c r="P45" s="74">
        <f>IFERROR(IF(O45&gt;0,N45/O45,"-"),"-")</f>
        <v/>
      </c>
      <c r="Q45" s="75" t="n">
        <v>1</v>
      </c>
      <c r="R45" s="60" t="n"/>
      <c r="S45" s="60" t="n"/>
    </row>
    <row r="46" ht="15" customHeight="1">
      <c r="A46" s="76" t="inlineStr">
        <is>
          <t xml:space="preserve">  SPECIAL SETS</t>
        </is>
      </c>
      <c r="B46" s="77" t="n"/>
      <c r="C46" s="77" t="n"/>
      <c r="D46" s="77" t="n"/>
      <c r="E46" s="77" t="n"/>
      <c r="F46" s="72">
        <f>SUM(I46:O46)</f>
        <v/>
      </c>
      <c r="G46" s="72">
        <f>SUM(J46:P46)</f>
        <v/>
      </c>
      <c r="H46" s="73">
        <f>IFERROR(IF(G46&gt;0,F46/G46,"-"),"-")</f>
        <v/>
      </c>
      <c r="I46" s="74" t="n">
        <v>9</v>
      </c>
      <c r="J46" s="74">
        <f>IFERROR(IF(I46&gt;0,H46/I46,"-"),"-")</f>
        <v/>
      </c>
      <c r="K46" s="75" t="n"/>
      <c r="L46" s="74" t="n">
        <v>5</v>
      </c>
      <c r="M46" s="74">
        <f>IFERROR(IF(L46&gt;0,K46/L46,"-"),"-")</f>
        <v/>
      </c>
      <c r="N46" s="75" t="n">
        <v>1</v>
      </c>
      <c r="O46" s="74" t="n">
        <v>37</v>
      </c>
      <c r="P46" s="74">
        <f>IFERROR(IF(O46&gt;0,N46/O46,"-"),"-")</f>
        <v/>
      </c>
      <c r="Q46" s="75" t="n"/>
      <c r="R46" s="59" t="n"/>
      <c r="S46" s="59" t="n"/>
    </row>
    <row r="47" ht="15" customHeight="1">
      <c r="A47" s="70" t="n">
        <v>35</v>
      </c>
      <c r="B47" s="71" t="inlineStr">
        <is>
          <t>Special Sets</t>
        </is>
      </c>
      <c r="C47" s="70" t="inlineStr">
        <is>
          <t>SP0001</t>
        </is>
      </c>
      <c r="D47" s="71" t="inlineStr">
        <is>
          <t>White Oud</t>
        </is>
      </c>
      <c r="E47" s="70" t="n">
        <v>5</v>
      </c>
      <c r="F47" s="72">
        <f>SUM(I47:O47)</f>
        <v/>
      </c>
      <c r="G47" s="72">
        <f>SUM(J47:P47)</f>
        <v/>
      </c>
      <c r="H47" s="73">
        <f>IFERROR(IF(G47&gt;0,F47/G47,"-"),"-")</f>
        <v/>
      </c>
      <c r="I47" s="74" t="n">
        <v>54</v>
      </c>
      <c r="J47" s="74">
        <f>IFERROR(IF(I47&gt;0,H47/I47,"-"),"-")</f>
        <v/>
      </c>
      <c r="K47" s="75" t="n">
        <v>8</v>
      </c>
      <c r="L47" s="74" t="n">
        <v>128</v>
      </c>
      <c r="M47" s="74">
        <f>IFERROR(IF(L47&gt;0,K47/L47,"-"),"-")</f>
        <v/>
      </c>
      <c r="N47" s="75" t="n">
        <v>4</v>
      </c>
      <c r="O47" s="74" t="n">
        <v>58</v>
      </c>
      <c r="P47" s="74">
        <f>IFERROR(IF(O47&gt;0,N47/O47,"-"),"-")</f>
        <v/>
      </c>
      <c r="Q47" s="75" t="n">
        <v>1</v>
      </c>
      <c r="R47" s="60" t="n"/>
      <c r="S47" s="60" t="n"/>
    </row>
    <row r="48" ht="15" customHeight="1">
      <c r="A48" s="70" t="n">
        <v>36</v>
      </c>
      <c r="B48" s="71" t="inlineStr">
        <is>
          <t>Special Sets</t>
        </is>
      </c>
      <c r="C48" s="70" t="inlineStr">
        <is>
          <t>SP0005</t>
        </is>
      </c>
      <c r="D48" s="71" t="inlineStr">
        <is>
          <t>No.4</t>
        </is>
      </c>
      <c r="E48" s="70" t="n"/>
      <c r="F48" s="72">
        <f>SUM(I48:O48)</f>
        <v/>
      </c>
      <c r="G48" s="72">
        <f>SUM(J48:P48)</f>
        <v/>
      </c>
      <c r="H48" s="73">
        <f>IFERROR(IF(G48&gt;0,F48/G48,"-"),"-")</f>
        <v/>
      </c>
      <c r="I48" s="74" t="n"/>
      <c r="J48" s="74">
        <f>IFERROR(IF(I48&gt;0,H48/I48,"-"),"-")</f>
        <v/>
      </c>
      <c r="K48" s="75" t="n"/>
      <c r="L48" s="74" t="n">
        <v>2</v>
      </c>
      <c r="M48" s="74">
        <f>IFERROR(IF(L48&gt;0,K48/L48,"-"),"-")</f>
        <v/>
      </c>
      <c r="N48" s="75" t="n"/>
      <c r="O48" s="74" t="n">
        <v>1</v>
      </c>
      <c r="P48" s="74">
        <f>IFERROR(IF(O48&gt;0,N48/O48,"-"),"-")</f>
        <v/>
      </c>
      <c r="Q48" s="75" t="n">
        <v>1</v>
      </c>
      <c r="R48" s="60" t="n"/>
      <c r="S48" s="60" t="n"/>
    </row>
    <row r="49" ht="15" customHeight="1">
      <c r="A49" s="70" t="n">
        <v>37</v>
      </c>
      <c r="B49" s="71" t="inlineStr">
        <is>
          <t>Special Sets</t>
        </is>
      </c>
      <c r="C49" s="70" t="inlineStr">
        <is>
          <t>SP0007</t>
        </is>
      </c>
      <c r="D49" s="71" t="inlineStr">
        <is>
          <t>Reflection -T 100 ML</t>
        </is>
      </c>
      <c r="E49" s="70" t="n"/>
      <c r="F49" s="72">
        <f>SUM(I49:O49)</f>
        <v/>
      </c>
      <c r="G49" s="72">
        <f>SUM(J49:P49)</f>
        <v/>
      </c>
      <c r="H49" s="73">
        <f>IFERROR(IF(G49&gt;0,F49/G49,"-"),"-")</f>
        <v/>
      </c>
      <c r="I49" s="74" t="n"/>
      <c r="J49" s="74">
        <f>IFERROR(IF(I49&gt;0,H49/I49,"-"),"-")</f>
        <v/>
      </c>
      <c r="K49" s="75" t="n"/>
      <c r="L49" s="74" t="n"/>
      <c r="M49" s="74">
        <f>IFERROR(IF(L49&gt;0,K49/L49,"-"),"-")</f>
        <v/>
      </c>
      <c r="N49" s="75" t="n"/>
      <c r="O49" s="74" t="n"/>
      <c r="P49" s="74">
        <f>IFERROR(IF(O49&gt;0,N49/O49,"-"),"-")</f>
        <v/>
      </c>
      <c r="Q49" s="75" t="n">
        <v>0</v>
      </c>
      <c r="R49" s="60" t="n"/>
      <c r="S49" s="60" t="n"/>
    </row>
    <row r="50" ht="15" customHeight="1">
      <c r="A50" s="76" t="inlineStr">
        <is>
          <t xml:space="preserve">  OILS &amp; CPO</t>
        </is>
      </c>
      <c r="B50" s="77" t="n"/>
      <c r="C50" s="77" t="n"/>
      <c r="D50" s="77" t="n"/>
      <c r="E50" s="77" t="n">
        <v>2</v>
      </c>
      <c r="F50" s="72">
        <f>SUM(I50:O50)</f>
        <v/>
      </c>
      <c r="G50" s="72">
        <f>SUM(J50:P50)</f>
        <v/>
      </c>
      <c r="H50" s="73">
        <f>IFERROR(IF(G50&gt;0,F50/G50,"-"),"-")</f>
        <v/>
      </c>
      <c r="I50" s="74" t="n">
        <v>1</v>
      </c>
      <c r="J50" s="74">
        <f>IFERROR(IF(I50&gt;0,H50/I50,"-"),"-")</f>
        <v/>
      </c>
      <c r="K50" s="75" t="n"/>
      <c r="L50" s="74" t="n"/>
      <c r="M50" s="74">
        <f>IFERROR(IF(L50&gt;0,K50/L50,"-"),"-")</f>
        <v/>
      </c>
      <c r="N50" s="75" t="n"/>
      <c r="O50" s="74" t="n">
        <v>2</v>
      </c>
      <c r="P50" s="74">
        <f>IFERROR(IF(O50&gt;0,N50/O50,"-"),"-")</f>
        <v/>
      </c>
      <c r="Q50" s="75" t="n"/>
      <c r="R50" s="59" t="n"/>
      <c r="S50" s="59" t="n"/>
    </row>
    <row r="51" ht="15" customHeight="1">
      <c r="A51" s="70" t="n">
        <v>38</v>
      </c>
      <c r="B51" s="71" t="inlineStr">
        <is>
          <t>Oils &amp; CPO</t>
        </is>
      </c>
      <c r="C51" s="70" t="inlineStr">
        <is>
          <t>I00003</t>
        </is>
      </c>
      <c r="D51" s="71" t="inlineStr">
        <is>
          <t>White Oil -8 ML</t>
        </is>
      </c>
      <c r="E51" s="70" t="n">
        <v>1</v>
      </c>
      <c r="F51" s="72">
        <f>SUM(I51:O51)</f>
        <v/>
      </c>
      <c r="G51" s="72">
        <f>SUM(J51:P51)</f>
        <v/>
      </c>
      <c r="H51" s="73">
        <f>IFERROR(IF(G51&gt;0,F51/G51,"-"),"-")</f>
        <v/>
      </c>
      <c r="I51" s="74" t="n"/>
      <c r="J51" s="74">
        <f>IFERROR(IF(I51&gt;0,H51/I51,"-"),"-")</f>
        <v/>
      </c>
      <c r="K51" s="75" t="n"/>
      <c r="L51" s="74" t="n"/>
      <c r="M51" s="74">
        <f>IFERROR(IF(L51&gt;0,K51/L51,"-"),"-")</f>
        <v/>
      </c>
      <c r="N51" s="75" t="n"/>
      <c r="O51" s="74" t="n">
        <v>4</v>
      </c>
      <c r="P51" s="74">
        <f>IFERROR(IF(O51&gt;0,N51/O51,"-"),"-")</f>
        <v/>
      </c>
      <c r="Q51" s="75" t="n">
        <v>0</v>
      </c>
      <c r="R51" s="60" t="n"/>
      <c r="S51" s="60" t="n"/>
    </row>
    <row r="52" ht="15" customHeight="1">
      <c r="A52" s="70" t="n">
        <v>39</v>
      </c>
      <c r="B52" s="71" t="inlineStr">
        <is>
          <t>Oils &amp; CPO</t>
        </is>
      </c>
      <c r="C52" s="70" t="inlineStr">
        <is>
          <t>I00004</t>
        </is>
      </c>
      <c r="D52" s="71" t="inlineStr">
        <is>
          <t>Maroon Oil - 8 ML</t>
        </is>
      </c>
      <c r="E52" s="70" t="n">
        <v>1</v>
      </c>
      <c r="F52" s="72">
        <f>SUM(I52:O52)</f>
        <v/>
      </c>
      <c r="G52" s="72">
        <f>SUM(J52:P52)</f>
        <v/>
      </c>
      <c r="H52" s="73">
        <f>IFERROR(IF(G52&gt;0,F52/G52,"-"),"-")</f>
        <v/>
      </c>
      <c r="I52" s="74" t="n">
        <v>1</v>
      </c>
      <c r="J52" s="74">
        <f>IFERROR(IF(I52&gt;0,H52/I52,"-"),"-")</f>
        <v/>
      </c>
      <c r="K52" s="75" t="n"/>
      <c r="L52" s="74" t="n"/>
      <c r="M52" s="74">
        <f>IFERROR(IF(L52&gt;0,K52/L52,"-"),"-")</f>
        <v/>
      </c>
      <c r="N52" s="75" t="n"/>
      <c r="O52" s="74" t="n"/>
      <c r="P52" s="74">
        <f>IFERROR(IF(O52&gt;0,N52/O52,"-"),"-")</f>
        <v/>
      </c>
      <c r="Q52" s="75" t="n">
        <v>0</v>
      </c>
      <c r="R52" s="60" t="n"/>
      <c r="S52" s="60" t="n"/>
    </row>
    <row r="53" ht="15" customHeight="1">
      <c r="A53" s="70" t="n">
        <v>40</v>
      </c>
      <c r="B53" s="71" t="inlineStr">
        <is>
          <t>Oils &amp; CPO</t>
        </is>
      </c>
      <c r="C53" s="70" t="inlineStr">
        <is>
          <t>I00005</t>
        </is>
      </c>
      <c r="D53" s="71" t="inlineStr">
        <is>
          <t>NO.4 Oil -8 ML</t>
        </is>
      </c>
      <c r="E53" s="70" t="n"/>
      <c r="F53" s="72">
        <f>SUM(I53:O53)</f>
        <v/>
      </c>
      <c r="G53" s="72">
        <f>SUM(J53:P53)</f>
        <v/>
      </c>
      <c r="H53" s="73">
        <f>IFERROR(IF(G53&gt;0,F53/G53,"-"),"-")</f>
        <v/>
      </c>
      <c r="I53" s="74" t="n"/>
      <c r="J53" s="74">
        <f>IFERROR(IF(I53&gt;0,H53/I53,"-"),"-")</f>
        <v/>
      </c>
      <c r="K53" s="75" t="n"/>
      <c r="L53" s="74" t="n"/>
      <c r="M53" s="74">
        <f>IFERROR(IF(L53&gt;0,K53/L53,"-"),"-")</f>
        <v/>
      </c>
      <c r="N53" s="75" t="n"/>
      <c r="O53" s="74" t="n"/>
      <c r="P53" s="74">
        <f>IFERROR(IF(O53&gt;0,N53/O53,"-"),"-")</f>
        <v/>
      </c>
      <c r="Q53" s="75" t="n">
        <v>0</v>
      </c>
      <c r="R53" s="60" t="n"/>
      <c r="S53" s="60" t="n"/>
    </row>
    <row r="54" ht="15" customHeight="1">
      <c r="A54" s="70" t="n">
        <v>41</v>
      </c>
      <c r="B54" s="71" t="inlineStr">
        <is>
          <t>Oils &amp; CPO</t>
        </is>
      </c>
      <c r="C54" s="70" t="inlineStr">
        <is>
          <t>I00006</t>
        </is>
      </c>
      <c r="D54" s="71" t="inlineStr">
        <is>
          <t>Musk oil 8 ML</t>
        </is>
      </c>
      <c r="E54" s="70" t="n"/>
      <c r="F54" s="72">
        <f>SUM(I54:O54)</f>
        <v/>
      </c>
      <c r="G54" s="72">
        <f>SUM(J54:P54)</f>
        <v/>
      </c>
      <c r="H54" s="73">
        <f>IFERROR(IF(G54&gt;0,F54/G54,"-"),"-")</f>
        <v/>
      </c>
      <c r="I54" s="74" t="n"/>
      <c r="J54" s="74">
        <f>IFERROR(IF(I54&gt;0,H54/I54,"-"),"-")</f>
        <v/>
      </c>
      <c r="K54" s="75" t="n"/>
      <c r="L54" s="74" t="n"/>
      <c r="M54" s="74">
        <f>IFERROR(IF(L54&gt;0,K54/L54,"-"),"-")</f>
        <v/>
      </c>
      <c r="N54" s="75" t="n"/>
      <c r="O54" s="74" t="n"/>
      <c r="P54" s="74">
        <f>IFERROR(IF(O54&gt;0,N54/O54,"-"),"-")</f>
        <v/>
      </c>
      <c r="Q54" s="75" t="n">
        <v>0</v>
      </c>
      <c r="R54" s="60" t="n"/>
      <c r="S54" s="60" t="n"/>
    </row>
    <row r="55" ht="15" customHeight="1">
      <c r="A55" s="76" t="inlineStr">
        <is>
          <t xml:space="preserve">  ACCESSORIES</t>
        </is>
      </c>
      <c r="B55" s="77" t="n"/>
      <c r="C55" s="77" t="n"/>
      <c r="D55" s="77" t="n"/>
      <c r="E55" s="77" t="n">
        <v>1</v>
      </c>
      <c r="F55" s="72">
        <f>SUM(I55:O55)</f>
        <v/>
      </c>
      <c r="G55" s="72">
        <f>SUM(J55:P55)</f>
        <v/>
      </c>
      <c r="H55" s="73">
        <f>IFERROR(IF(G55&gt;0,F55/G55,"-"),"-")</f>
        <v/>
      </c>
      <c r="I55" s="74" t="n"/>
      <c r="J55" s="74">
        <f>IFERROR(IF(I55&gt;0,H55/I55,"-"),"-")</f>
        <v/>
      </c>
      <c r="K55" s="75" t="n"/>
      <c r="L55" s="74" t="n"/>
      <c r="M55" s="74">
        <f>IFERROR(IF(L55&gt;0,K55/L55,"-"),"-")</f>
        <v/>
      </c>
      <c r="N55" s="75" t="n"/>
      <c r="O55" s="74" t="n"/>
      <c r="P55" s="74">
        <f>IFERROR(IF(O55&gt;0,N55/O55,"-"),"-")</f>
        <v/>
      </c>
      <c r="Q55" s="75" t="n"/>
      <c r="R55" s="59" t="n"/>
      <c r="S55" s="59" t="n"/>
    </row>
    <row r="56" ht="15" customHeight="1">
      <c r="A56" s="70" t="n">
        <v>42</v>
      </c>
      <c r="B56" s="71" t="inlineStr">
        <is>
          <t>Accessories</t>
        </is>
      </c>
      <c r="C56" s="70" t="inlineStr">
        <is>
          <t>AC0003</t>
        </is>
      </c>
      <c r="D56" s="71" t="inlineStr">
        <is>
          <t>Lighter</t>
        </is>
      </c>
      <c r="E56" s="70" t="n">
        <v>1</v>
      </c>
      <c r="F56" s="72">
        <f>SUM(I56:O56)</f>
        <v/>
      </c>
      <c r="G56" s="72">
        <f>SUM(J56:P56)</f>
        <v/>
      </c>
      <c r="H56" s="73">
        <f>IFERROR(IF(G56&gt;0,F56/G56,"-"),"-")</f>
        <v/>
      </c>
      <c r="I56" s="74" t="n">
        <v>3</v>
      </c>
      <c r="J56" s="74">
        <f>IFERROR(IF(I56&gt;0,H56/I56,"-"),"-")</f>
        <v/>
      </c>
      <c r="K56" s="75" t="n"/>
      <c r="L56" s="74" t="n">
        <v>4</v>
      </c>
      <c r="M56" s="74">
        <f>IFERROR(IF(L56&gt;0,K56/L56,"-"),"-")</f>
        <v/>
      </c>
      <c r="N56" s="75" t="n"/>
      <c r="O56" s="74" t="n"/>
      <c r="P56" s="74">
        <f>IFERROR(IF(O56&gt;0,N56/O56,"-"),"-")</f>
        <v/>
      </c>
      <c r="Q56" s="75" t="n">
        <v>0</v>
      </c>
      <c r="R56" s="60" t="n"/>
      <c r="S56" s="60" t="n"/>
    </row>
    <row r="57">
      <c r="A57" s="77" t="n"/>
      <c r="B57" s="77" t="n"/>
      <c r="C57" s="77" t="n"/>
      <c r="D57" s="77" t="n"/>
      <c r="E57" s="77" t="n">
        <v>1</v>
      </c>
      <c r="F57" s="72">
        <f>SUM(I57:O57)</f>
        <v/>
      </c>
      <c r="G57" s="72">
        <f>SUM(J57:P57)</f>
        <v/>
      </c>
      <c r="H57" s="73">
        <f>IFERROR(IF(G57&gt;0,F57/G57,"-"),"-")</f>
        <v/>
      </c>
      <c r="I57" s="74" t="n">
        <v>6</v>
      </c>
      <c r="J57" s="74">
        <f>IFERROR(IF(I57&gt;0,H57/I57,"-"),"-")</f>
        <v/>
      </c>
      <c r="K57" s="75" t="n">
        <v>1</v>
      </c>
      <c r="L57" s="74" t="n">
        <v>7</v>
      </c>
      <c r="M57" s="74">
        <f>IFERROR(IF(L57&gt;0,K57/L57,"-"),"-")</f>
        <v/>
      </c>
      <c r="N57" s="75" t="n"/>
      <c r="O57" s="74" t="n">
        <v>9</v>
      </c>
      <c r="P57" s="74">
        <f>IFERROR(IF(O57&gt;0,N57/O57,"-"),"-")</f>
        <v/>
      </c>
      <c r="Q57" s="75" t="n"/>
      <c r="R57" s="59" t="n"/>
      <c r="S57" s="59" t="n"/>
    </row>
    <row r="58">
      <c r="A58" s="77" t="n"/>
      <c r="B58" s="77" t="n"/>
      <c r="C58" s="77" t="n"/>
      <c r="D58" s="77" t="n"/>
      <c r="E58" s="77" t="n">
        <v>1</v>
      </c>
      <c r="F58" s="72">
        <f>SUM(I58:O58)</f>
        <v/>
      </c>
      <c r="G58" s="72">
        <f>SUM(J58:P58)</f>
        <v/>
      </c>
      <c r="H58" s="73">
        <f>IFERROR(IF(G58&gt;0,F58/G58,"-"),"-")</f>
        <v/>
      </c>
      <c r="I58" s="74" t="n">
        <v>2</v>
      </c>
      <c r="J58" s="74">
        <f>IFERROR(IF(I58&gt;0,H58/I58,"-"),"-")</f>
        <v/>
      </c>
      <c r="K58" s="75" t="n">
        <v>1</v>
      </c>
      <c r="L58" s="74" t="n">
        <v>5</v>
      </c>
      <c r="M58" s="74">
        <f>IFERROR(IF(L58&gt;0,K58/L58,"-"),"-")</f>
        <v/>
      </c>
      <c r="N58" s="75" t="n"/>
      <c r="O58" s="74" t="n">
        <v>1</v>
      </c>
      <c r="P58" s="74">
        <f>IFERROR(IF(O58&gt;0,N58/O58,"-"),"-")</f>
        <v/>
      </c>
      <c r="Q58" s="75" t="n"/>
      <c r="R58" s="59" t="n"/>
      <c r="S58" s="59" t="n"/>
    </row>
    <row r="59">
      <c r="A59" s="77" t="n"/>
      <c r="B59" s="77" t="n"/>
      <c r="C59" s="77" t="n"/>
      <c r="D59" s="77" t="n"/>
      <c r="E59" s="77" t="n">
        <v>1</v>
      </c>
      <c r="F59" s="72">
        <f>SUM(I59:O59)</f>
        <v/>
      </c>
      <c r="G59" s="72">
        <f>SUM(J59:P59)</f>
        <v/>
      </c>
      <c r="H59" s="73">
        <f>IFERROR(IF(G59&gt;0,F59/G59,"-"),"-")</f>
        <v/>
      </c>
      <c r="I59" s="74" t="n">
        <v>3</v>
      </c>
      <c r="J59" s="74">
        <f>IFERROR(IF(I59&gt;0,H59/I59,"-"),"-")</f>
        <v/>
      </c>
      <c r="K59" s="75" t="n">
        <v>1</v>
      </c>
      <c r="L59" s="74" t="n">
        <v>2</v>
      </c>
      <c r="M59" s="74">
        <f>IFERROR(IF(L59&gt;0,K59/L59,"-"),"-")</f>
        <v/>
      </c>
      <c r="N59" s="75" t="n"/>
      <c r="O59" s="74" t="n">
        <v>5</v>
      </c>
      <c r="P59" s="74">
        <f>IFERROR(IF(O59&gt;0,N59/O59,"-"),"-")</f>
        <v/>
      </c>
      <c r="Q59" s="75" t="n"/>
      <c r="R59" s="59" t="n"/>
      <c r="S59" s="59" t="n"/>
    </row>
    <row r="60">
      <c r="A60" s="77" t="n"/>
      <c r="B60" s="77" t="n"/>
      <c r="C60" s="77" t="n"/>
      <c r="D60" s="77" t="n"/>
      <c r="E60" s="77" t="n"/>
      <c r="F60" s="72">
        <f>SUM(I60:O60)</f>
        <v/>
      </c>
      <c r="G60" s="72">
        <f>SUM(J60:P60)</f>
        <v/>
      </c>
      <c r="H60" s="73">
        <f>IFERROR(IF(G60&gt;0,F60/G60,"-"),"-")</f>
        <v/>
      </c>
      <c r="I60" s="74" t="n"/>
      <c r="J60" s="74">
        <f>IFERROR(IF(I60&gt;0,H60/I60,"-"),"-")</f>
        <v/>
      </c>
      <c r="K60" s="75" t="n"/>
      <c r="L60" s="74" t="n"/>
      <c r="M60" s="74">
        <f>IFERROR(IF(L60&gt;0,K60/L60,"-"),"-")</f>
        <v/>
      </c>
      <c r="N60" s="75" t="n"/>
      <c r="O60" s="74" t="n"/>
      <c r="P60" s="74">
        <f>IFERROR(IF(O60&gt;0,N60/O60,"-"),"-")</f>
        <v/>
      </c>
      <c r="Q60" s="75" t="n"/>
      <c r="R60" s="59" t="n"/>
      <c r="S60" s="59" t="n"/>
    </row>
    <row r="61">
      <c r="A61" s="77" t="n"/>
      <c r="B61" s="77" t="n"/>
      <c r="C61" s="77" t="n"/>
      <c r="D61" s="77" t="n"/>
      <c r="E61" s="77" t="n"/>
      <c r="F61" s="72">
        <f>SUM(I61:O61)</f>
        <v/>
      </c>
      <c r="G61" s="72">
        <f>SUM(J61:P61)</f>
        <v/>
      </c>
      <c r="H61" s="73">
        <f>IFERROR(IF(G61&gt;0,F61/G61,"-"),"-")</f>
        <v/>
      </c>
      <c r="I61" s="74" t="n">
        <v>1</v>
      </c>
      <c r="J61" s="74">
        <f>IFERROR(IF(I61&gt;0,H61/I61,"-"),"-")</f>
        <v/>
      </c>
      <c r="K61" s="75" t="n"/>
      <c r="L61" s="74" t="n">
        <v>5</v>
      </c>
      <c r="M61" s="74">
        <f>IFERROR(IF(L61&gt;0,K61/L61,"-"),"-")</f>
        <v/>
      </c>
      <c r="N61" s="75" t="n"/>
      <c r="O61" s="74" t="n">
        <v>3</v>
      </c>
      <c r="P61" s="74">
        <f>IFERROR(IF(O61&gt;0,N61/O61,"-"),"-")</f>
        <v/>
      </c>
      <c r="Q61" s="75" t="n"/>
      <c r="R61" s="59" t="n"/>
      <c r="S61" s="59" t="n"/>
    </row>
    <row r="62">
      <c r="A62" s="77" t="n"/>
      <c r="B62" s="77" t="n"/>
      <c r="C62" s="77" t="n"/>
      <c r="D62" s="77" t="n"/>
      <c r="E62" s="77" t="n">
        <v>1</v>
      </c>
      <c r="F62" s="72">
        <f>SUM(I62:O62)</f>
        <v/>
      </c>
      <c r="G62" s="72">
        <f>SUM(J62:P62)</f>
        <v/>
      </c>
      <c r="H62" s="73">
        <f>IFERROR(IF(G62&gt;0,F62/G62,"-"),"-")</f>
        <v/>
      </c>
      <c r="I62" s="74" t="n">
        <v>9</v>
      </c>
      <c r="J62" s="74">
        <f>IFERROR(IF(I62&gt;0,H62/I62,"-"),"-")</f>
        <v/>
      </c>
      <c r="K62" s="75" t="n">
        <v>2</v>
      </c>
      <c r="L62" s="74" t="n">
        <v>37</v>
      </c>
      <c r="M62" s="74">
        <f>IFERROR(IF(L62&gt;0,K62/L62,"-"),"-")</f>
        <v/>
      </c>
      <c r="N62" s="75" t="n">
        <v>1</v>
      </c>
      <c r="O62" s="74" t="n">
        <v>9</v>
      </c>
      <c r="P62" s="74">
        <f>IFERROR(IF(O62&gt;0,N62/O62,"-"),"-")</f>
        <v/>
      </c>
      <c r="Q62" s="75" t="n"/>
      <c r="R62" s="59" t="n"/>
      <c r="S62" s="59" t="n"/>
    </row>
    <row r="63">
      <c r="A63" s="77" t="n"/>
      <c r="B63" s="77" t="n"/>
      <c r="C63" s="77" t="n"/>
      <c r="D63" s="77" t="n"/>
      <c r="E63" s="77" t="n"/>
      <c r="F63" s="72">
        <f>SUM(I63:O63)</f>
        <v/>
      </c>
      <c r="G63" s="72">
        <f>SUM(J63:P63)</f>
        <v/>
      </c>
      <c r="H63" s="73">
        <f>IFERROR(IF(G63&gt;0,F63/G63,"-"),"-")</f>
        <v/>
      </c>
      <c r="I63" s="74" t="n"/>
      <c r="J63" s="74">
        <f>IFERROR(IF(I63&gt;0,H63/I63,"-"),"-")</f>
        <v/>
      </c>
      <c r="K63" s="75" t="n"/>
      <c r="L63" s="74" t="n"/>
      <c r="M63" s="74">
        <f>IFERROR(IF(L63&gt;0,K63/L63,"-"),"-")</f>
        <v/>
      </c>
      <c r="N63" s="75" t="n"/>
      <c r="O63" s="74" t="n"/>
      <c r="P63" s="74">
        <f>IFERROR(IF(O63&gt;0,N63/O63,"-"),"-")</f>
        <v/>
      </c>
      <c r="Q63" s="75" t="n"/>
      <c r="R63" s="59" t="n"/>
      <c r="S63" s="59" t="n"/>
    </row>
    <row r="64">
      <c r="A64" s="77" t="n"/>
      <c r="B64" s="77" t="n"/>
      <c r="C64" s="77" t="n"/>
      <c r="D64" s="77" t="n"/>
      <c r="E64" s="77" t="n"/>
      <c r="F64" s="72">
        <f>SUM(I64:O64)</f>
        <v/>
      </c>
      <c r="G64" s="72">
        <f>SUM(J64:P64)</f>
        <v/>
      </c>
      <c r="H64" s="73">
        <f>IFERROR(IF(G64&gt;0,F64/G64,"-"),"-")</f>
        <v/>
      </c>
      <c r="I64" s="74" t="n">
        <v>5</v>
      </c>
      <c r="J64" s="74">
        <f>IFERROR(IF(I64&gt;0,H64/I64,"-"),"-")</f>
        <v/>
      </c>
      <c r="K64" s="75" t="n"/>
      <c r="L64" s="74" t="n"/>
      <c r="M64" s="74">
        <f>IFERROR(IF(L64&gt;0,K64/L64,"-"),"-")</f>
        <v/>
      </c>
      <c r="N64" s="75" t="n"/>
      <c r="O64" s="74" t="n"/>
      <c r="P64" s="74">
        <f>IFERROR(IF(O64&gt;0,N64/O64,"-"),"-")</f>
        <v/>
      </c>
      <c r="Q64" s="75" t="n"/>
      <c r="R64" s="59" t="n"/>
      <c r="S64" s="59" t="n"/>
    </row>
  </sheetData>
  <mergeCells count="5">
    <mergeCell ref="A1:AZ1"/>
    <mergeCell ref="O3"/>
    <mergeCell ref="I3"/>
    <mergeCell ref="L3"/>
    <mergeCell ref="A2:AZ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B5E20"/>
    <outlinePr summaryBelow="1" summaryRight="1"/>
    <pageSetUpPr/>
  </sheetPr>
  <dimension ref="A1:AZ64"/>
  <sheetViews>
    <sheetView showGridLines="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2" customWidth="1" min="4" max="4"/>
    <col width="25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7.5" customWidth="1" min="18" max="18"/>
    <col width="9" customWidth="1" min="19" max="19"/>
  </cols>
  <sheetData>
    <row r="1" ht="25" customHeight="1">
      <c r="A1" s="55" t="inlineStr">
        <is>
          <t>EMIRATES PRIDE PERFUMES | TESTER CONSUMPTION | FEB 2026 | ELMATLOUB</t>
        </is>
      </c>
    </row>
    <row r="2" ht="14" customHeight="1">
      <c r="A2" s="56" t="inlineStr">
        <is>
          <t>T=Testers Dispatched (blue) | S=Sales Generated (green) | Contrib%=Contribution %</t>
        </is>
      </c>
    </row>
    <row r="3" ht="30" customHeight="1">
      <c r="A3" s="57" t="inlineStr">
        <is>
          <t>#</t>
        </is>
      </c>
      <c r="B3" s="57" t="inlineStr">
        <is>
          <t>Category</t>
        </is>
      </c>
      <c r="C3" s="57" t="inlineStr">
        <is>
          <t>Sub-Category</t>
        </is>
      </c>
      <c r="D3" s="57" t="inlineStr">
        <is>
          <t>SKU Code</t>
        </is>
      </c>
      <c r="E3" s="57" t="inlineStr">
        <is>
          <t>Product Name</t>
        </is>
      </c>
      <c r="F3" s="57" t="inlineStr">
        <is>
          <t>Grand Total
Testers</t>
        </is>
      </c>
      <c r="G3" s="57" t="inlineStr">
        <is>
          <t>Grand Total
Sales</t>
        </is>
      </c>
      <c r="H3" s="57" t="inlineStr">
        <is>
          <t>Grand Total
Contrib%</t>
        </is>
      </c>
      <c r="I3" s="58" t="inlineStr">
        <is>
          <t>Fujairah CC</t>
        </is>
      </c>
      <c r="J3" s="59" t="n"/>
      <c r="K3" s="60" t="n"/>
      <c r="L3" s="58" t="inlineStr">
        <is>
          <t>Zahia CC</t>
        </is>
      </c>
      <c r="M3" s="59" t="n"/>
      <c r="N3" s="60" t="n"/>
      <c r="O3" s="58" t="inlineStr">
        <is>
          <t>Ajman CC</t>
        </is>
      </c>
      <c r="P3" s="59" t="n"/>
      <c r="Q3" s="60" t="n"/>
      <c r="R3" s="59" t="n"/>
      <c r="S3" s="59" t="n"/>
    </row>
    <row r="4" ht="44" customHeight="1">
      <c r="A4" s="61" t="n"/>
      <c r="B4" s="61" t="n"/>
      <c r="C4" s="61" t="n"/>
      <c r="D4" s="61" t="n"/>
      <c r="E4" s="61" t="n"/>
      <c r="F4" s="61" t="inlineStr">
        <is>
          <t>T</t>
        </is>
      </c>
      <c r="G4" s="61" t="inlineStr">
        <is>
          <t>S</t>
        </is>
      </c>
      <c r="H4" s="61" t="inlineStr">
        <is>
          <t>Contrib%</t>
        </is>
      </c>
      <c r="I4" s="62" t="inlineStr">
        <is>
          <t>T</t>
        </is>
      </c>
      <c r="J4" s="62" t="inlineStr">
        <is>
          <t>S</t>
        </is>
      </c>
      <c r="K4" s="62" t="inlineStr">
        <is>
          <t>Contrib%</t>
        </is>
      </c>
      <c r="L4" s="62" t="inlineStr">
        <is>
          <t>T</t>
        </is>
      </c>
      <c r="M4" s="62" t="inlineStr">
        <is>
          <t>S</t>
        </is>
      </c>
      <c r="N4" s="62" t="inlineStr">
        <is>
          <t>Contrib%</t>
        </is>
      </c>
      <c r="O4" s="62" t="inlineStr">
        <is>
          <t>T</t>
        </is>
      </c>
      <c r="P4" s="62" t="inlineStr">
        <is>
          <t>S</t>
        </is>
      </c>
      <c r="Q4" s="62" t="inlineStr">
        <is>
          <t>Contrib%</t>
        </is>
      </c>
      <c r="R4" s="60" t="n"/>
      <c r="S4" s="60" t="n"/>
    </row>
    <row r="5" ht="20" customHeight="1">
      <c r="A5" s="63" t="inlineStr">
        <is>
          <t>GRAND TOTAL</t>
        </is>
      </c>
      <c r="B5" s="59" t="n"/>
      <c r="C5" s="59" t="n"/>
      <c r="D5" s="59" t="n"/>
      <c r="E5" s="60" t="n"/>
      <c r="F5" s="64">
        <f>SUM(F12:F64)</f>
        <v/>
      </c>
      <c r="G5" s="64">
        <f>SUM(G12:G64)</f>
        <v/>
      </c>
      <c r="H5" s="65">
        <f>IFERROR(IF(G5&gt;0,F5/G5,"-"),"-")</f>
        <v/>
      </c>
      <c r="I5" s="66">
        <f>SUM(I12:I64)</f>
        <v/>
      </c>
      <c r="J5" s="66">
        <f>SUM(J12:J64)</f>
        <v/>
      </c>
      <c r="K5" s="67">
        <f>IFERROR(IF(J5&gt;0,I5/J5,"-"),"-")</f>
        <v/>
      </c>
      <c r="L5" s="66">
        <f>SUM(L12:L64)</f>
        <v/>
      </c>
      <c r="M5" s="66">
        <f>SUM(M12:M64)</f>
        <v/>
      </c>
      <c r="N5" s="67">
        <f>IFERROR(IF(M5&gt;0,L5/M5,"-"),"-")</f>
        <v/>
      </c>
      <c r="O5" s="66">
        <f>SUM(O12:O64)</f>
        <v/>
      </c>
      <c r="P5" s="66">
        <f>SUM(P12:P64)</f>
        <v/>
      </c>
      <c r="Q5" s="67">
        <f>IFERROR(IF(P5&gt;0,O5/P5,"-"),"-")</f>
        <v/>
      </c>
      <c r="R5" s="60" t="n"/>
      <c r="S5" s="60" t="n"/>
    </row>
    <row r="6" ht="15" customHeight="1">
      <c r="A6" s="68" t="n"/>
      <c r="B6" s="59" t="n"/>
      <c r="C6" s="59" t="n"/>
      <c r="D6" s="59" t="n"/>
      <c r="E6" s="59" t="n"/>
      <c r="F6" s="59" t="n"/>
      <c r="G6" s="59" t="n"/>
      <c r="H6" s="59" t="n"/>
      <c r="I6" s="59" t="n"/>
      <c r="J6" s="59" t="n"/>
      <c r="K6" s="59" t="n"/>
      <c r="L6" s="59" t="n"/>
      <c r="M6" s="59" t="n"/>
      <c r="N6" s="59" t="n"/>
      <c r="O6" s="59" t="n"/>
      <c r="P6" s="59" t="n"/>
      <c r="Q6" s="59" t="n"/>
      <c r="R6" s="59" t="n"/>
      <c r="S6" s="59" t="n"/>
    </row>
    <row r="7" ht="15" customHeight="1">
      <c r="A7" s="60" t="n"/>
      <c r="B7" s="69" t="n"/>
      <c r="C7" s="60" t="n"/>
      <c r="D7" s="69" t="n"/>
      <c r="E7" s="60" t="n"/>
      <c r="F7" s="60" t="n"/>
      <c r="G7" s="60" t="n"/>
      <c r="H7" s="60" t="n"/>
      <c r="I7" s="60" t="n"/>
      <c r="J7" s="60" t="n"/>
      <c r="K7" s="60" t="n"/>
      <c r="L7" s="60" t="n"/>
      <c r="M7" s="60" t="n"/>
      <c r="N7" s="60" t="n"/>
      <c r="O7" s="60" t="n"/>
      <c r="P7" s="60" t="n"/>
      <c r="Q7" s="60" t="n"/>
      <c r="R7" s="60" t="n"/>
      <c r="S7" s="60" t="n"/>
    </row>
    <row r="8" ht="15" customHeight="1">
      <c r="A8" s="60" t="n"/>
      <c r="B8" s="69" t="n"/>
      <c r="C8" s="60" t="n"/>
      <c r="D8" s="69" t="n"/>
      <c r="E8" s="60" t="n"/>
      <c r="F8" s="60" t="n"/>
      <c r="G8" s="60" t="n"/>
      <c r="H8" s="60" t="n"/>
      <c r="I8" s="60" t="n"/>
      <c r="J8" s="60" t="n"/>
      <c r="K8" s="60" t="n"/>
      <c r="L8" s="60" t="n"/>
      <c r="M8" s="60" t="n"/>
      <c r="N8" s="60" t="n"/>
      <c r="O8" s="60" t="n"/>
      <c r="P8" s="60" t="n"/>
      <c r="Q8" s="60" t="n"/>
      <c r="R8" s="60" t="n"/>
      <c r="S8" s="60" t="n"/>
    </row>
    <row r="9" ht="15" customHeight="1">
      <c r="A9" s="60" t="n"/>
      <c r="B9" s="69" t="n"/>
      <c r="C9" s="60" t="n"/>
      <c r="D9" s="69" t="n"/>
      <c r="E9" s="60" t="n"/>
      <c r="F9" s="60" t="n"/>
      <c r="G9" s="60" t="n"/>
      <c r="H9" s="60" t="n"/>
      <c r="I9" s="60" t="n"/>
      <c r="J9" s="60" t="n"/>
      <c r="K9" s="60" t="n"/>
      <c r="L9" s="60" t="n"/>
      <c r="M9" s="60" t="n"/>
      <c r="N9" s="60" t="n"/>
      <c r="O9" s="60" t="n"/>
      <c r="P9" s="60" t="n"/>
      <c r="Q9" s="60" t="n"/>
      <c r="R9" s="60" t="n"/>
      <c r="S9" s="60" t="n"/>
    </row>
    <row r="10" ht="15" customHeight="1">
      <c r="A10" s="60" t="n"/>
      <c r="B10" s="69" t="n"/>
      <c r="C10" s="60" t="n"/>
      <c r="D10" s="69" t="n"/>
      <c r="E10" s="60" t="n"/>
      <c r="F10" s="60" t="n"/>
      <c r="G10" s="60" t="n"/>
      <c r="H10" s="60" t="n"/>
      <c r="I10" s="60" t="n"/>
      <c r="J10" s="60" t="n"/>
      <c r="K10" s="60" t="n"/>
      <c r="L10" s="60" t="n"/>
      <c r="M10" s="60" t="n"/>
      <c r="N10" s="60" t="n"/>
      <c r="O10" s="60" t="n"/>
      <c r="P10" s="60" t="n"/>
      <c r="Q10" s="60" t="n"/>
      <c r="R10" s="60" t="n"/>
      <c r="S10" s="60" t="n"/>
    </row>
    <row r="11" ht="15" customHeight="1">
      <c r="A11" s="60" t="n"/>
      <c r="B11" s="69" t="n"/>
      <c r="C11" s="60" t="n"/>
      <c r="D11" s="69" t="n"/>
      <c r="E11" s="60" t="n"/>
      <c r="F11" s="60" t="n"/>
      <c r="G11" s="60" t="n"/>
      <c r="H11" s="60" t="n"/>
      <c r="I11" s="60" t="n"/>
      <c r="J11" s="60" t="n"/>
      <c r="K11" s="60" t="n"/>
      <c r="L11" s="60" t="n"/>
      <c r="M11" s="60" t="n"/>
      <c r="N11" s="60" t="n"/>
      <c r="O11" s="60" t="n"/>
      <c r="P11" s="60" t="n"/>
      <c r="Q11" s="60" t="n"/>
      <c r="R11" s="60" t="n"/>
      <c r="S11" s="60" t="n"/>
    </row>
    <row r="12" ht="15" customHeight="1">
      <c r="A12" s="70" t="n">
        <v>6</v>
      </c>
      <c r="B12" s="71" t="inlineStr">
        <is>
          <t>Bel Collections</t>
        </is>
      </c>
      <c r="C12" s="70" t="inlineStr">
        <is>
          <t>B00006</t>
        </is>
      </c>
      <c r="D12" s="71" t="inlineStr">
        <is>
          <t>Mersal</t>
        </is>
      </c>
      <c r="E12" s="70" t="n">
        <v>1</v>
      </c>
      <c r="F12" s="72">
        <f>SUM(I12:O12)</f>
        <v/>
      </c>
      <c r="G12" s="72">
        <f>SUM(J12:P12)</f>
        <v/>
      </c>
      <c r="H12" s="73">
        <f>IFERROR(IF(G12&gt;0,F12/G12,"-"),"-")</f>
        <v/>
      </c>
      <c r="I12" s="74" t="n">
        <v>3</v>
      </c>
      <c r="J12" s="74">
        <f>IFERROR(IF(I12&gt;0,H12/I12,"-"),"-")</f>
        <v/>
      </c>
      <c r="K12" s="75" t="n">
        <v>2</v>
      </c>
      <c r="L12" s="74" t="n">
        <v>16</v>
      </c>
      <c r="M12" s="74">
        <f>IFERROR(IF(L12&gt;0,K12/L12,"-"),"-")</f>
        <v/>
      </c>
      <c r="N12" s="75" t="n"/>
      <c r="O12" s="74" t="n">
        <v>6</v>
      </c>
      <c r="P12" s="74">
        <f>IFERROR(IF(O12&gt;0,N12/O12,"-"),"-")</f>
        <v/>
      </c>
      <c r="Q12" s="75" t="n"/>
      <c r="R12" s="60" t="n"/>
      <c r="S12" s="60" t="n"/>
    </row>
    <row r="13" ht="15" customHeight="1">
      <c r="A13" s="70" t="n">
        <v>7</v>
      </c>
      <c r="B13" s="71" t="inlineStr">
        <is>
          <t>Bel Collections</t>
        </is>
      </c>
      <c r="C13" s="70" t="inlineStr">
        <is>
          <t>B00007</t>
        </is>
      </c>
      <c r="D13" s="71" t="inlineStr">
        <is>
          <t>Peaceful Life</t>
        </is>
      </c>
      <c r="E13" s="70" t="n"/>
      <c r="F13" s="72">
        <f>SUM(I13:O13)</f>
        <v/>
      </c>
      <c r="G13" s="72">
        <f>SUM(J13:P13)</f>
        <v/>
      </c>
      <c r="H13" s="73">
        <f>IFERROR(IF(G13&gt;0,F13/G13,"-"),"-")</f>
        <v/>
      </c>
      <c r="I13" s="74" t="n">
        <v>9</v>
      </c>
      <c r="J13" s="74">
        <f>IFERROR(IF(I13&gt;0,H13/I13,"-"),"-")</f>
        <v/>
      </c>
      <c r="K13" s="75" t="n">
        <v>1</v>
      </c>
      <c r="L13" s="74" t="n">
        <v>10</v>
      </c>
      <c r="M13" s="74">
        <f>IFERROR(IF(L13&gt;0,K13/L13,"-"),"-")</f>
        <v/>
      </c>
      <c r="N13" s="75" t="n">
        <v>1</v>
      </c>
      <c r="O13" s="74" t="n">
        <v>8</v>
      </c>
      <c r="P13" s="74">
        <f>IFERROR(IF(O13&gt;0,N13/O13,"-"),"-")</f>
        <v/>
      </c>
      <c r="Q13" s="75" t="n"/>
      <c r="R13" s="60" t="n"/>
      <c r="S13" s="60" t="n"/>
    </row>
    <row r="14" ht="15" customHeight="1">
      <c r="A14" s="70" t="n">
        <v>8</v>
      </c>
      <c r="B14" s="71" t="inlineStr">
        <is>
          <t>Bel Collections</t>
        </is>
      </c>
      <c r="C14" s="70" t="inlineStr">
        <is>
          <t>B00008</t>
        </is>
      </c>
      <c r="D14" s="71" t="inlineStr">
        <is>
          <t>Midnight Glow</t>
        </is>
      </c>
      <c r="E14" s="70" t="n">
        <v>1</v>
      </c>
      <c r="F14" s="72">
        <f>SUM(I14:O14)</f>
        <v/>
      </c>
      <c r="G14" s="72">
        <f>SUM(J14:P14)</f>
        <v/>
      </c>
      <c r="H14" s="73">
        <f>IFERROR(IF(G14&gt;0,F14/G14,"-"),"-")</f>
        <v/>
      </c>
      <c r="I14" s="74" t="n">
        <v>1</v>
      </c>
      <c r="J14" s="74">
        <f>IFERROR(IF(I14&gt;0,H14/I14,"-"),"-")</f>
        <v/>
      </c>
      <c r="K14" s="75" t="n">
        <v>1</v>
      </c>
      <c r="L14" s="74" t="n"/>
      <c r="M14" s="74">
        <f>IFERROR(IF(L14&gt;0,K14/L14,"-"),"-")</f>
        <v/>
      </c>
      <c r="N14" s="75" t="n"/>
      <c r="O14" s="74" t="n">
        <v>1</v>
      </c>
      <c r="P14" s="74">
        <f>IFERROR(IF(O14&gt;0,N14/O14,"-"),"-")</f>
        <v/>
      </c>
      <c r="Q14" s="75" t="n"/>
      <c r="R14" s="60" t="n"/>
      <c r="S14" s="60" t="n"/>
    </row>
    <row r="15" ht="15" customHeight="1">
      <c r="A15" s="70" t="n">
        <v>9</v>
      </c>
      <c r="B15" s="71" t="inlineStr">
        <is>
          <t>Bel Collections</t>
        </is>
      </c>
      <c r="C15" s="70" t="inlineStr">
        <is>
          <t>B00010</t>
        </is>
      </c>
      <c r="D15" s="71" t="inlineStr">
        <is>
          <t>Sakura</t>
        </is>
      </c>
      <c r="E15" s="70" t="n"/>
      <c r="F15" s="72">
        <f>SUM(I15:O15)</f>
        <v/>
      </c>
      <c r="G15" s="72">
        <f>SUM(J15:P15)</f>
        <v/>
      </c>
      <c r="H15" s="73">
        <f>IFERROR(IF(G15&gt;0,F15/G15,"-"),"-")</f>
        <v/>
      </c>
      <c r="I15" s="74" t="n">
        <v>6</v>
      </c>
      <c r="J15" s="74">
        <f>IFERROR(IF(I15&gt;0,H15/I15,"-"),"-")</f>
        <v/>
      </c>
      <c r="K15" s="75" t="n">
        <v>1</v>
      </c>
      <c r="L15" s="74" t="n">
        <v>13</v>
      </c>
      <c r="M15" s="74">
        <f>IFERROR(IF(L15&gt;0,K15/L15,"-"),"-")</f>
        <v/>
      </c>
      <c r="N15" s="75" t="n">
        <v>2</v>
      </c>
      <c r="O15" s="74" t="n">
        <v>19</v>
      </c>
      <c r="P15" s="74">
        <f>IFERROR(IF(O15&gt;0,N15/O15,"-"),"-")</f>
        <v/>
      </c>
      <c r="Q15" s="75" t="n">
        <v>2</v>
      </c>
      <c r="R15" s="60" t="n"/>
      <c r="S15" s="60" t="n"/>
    </row>
    <row r="16" ht="15" customHeight="1">
      <c r="A16" s="70" t="n">
        <v>10</v>
      </c>
      <c r="B16" s="71" t="inlineStr">
        <is>
          <t>Bel Collections</t>
        </is>
      </c>
      <c r="C16" s="70" t="inlineStr">
        <is>
          <t>B00012</t>
        </is>
      </c>
      <c r="D16" s="71" t="inlineStr">
        <is>
          <t>Ambergris</t>
        </is>
      </c>
      <c r="E16" s="70" t="n">
        <v>3</v>
      </c>
      <c r="F16" s="72">
        <f>SUM(I16:O16)</f>
        <v/>
      </c>
      <c r="G16" s="72">
        <f>SUM(J16:P16)</f>
        <v/>
      </c>
      <c r="H16" s="73">
        <f>IFERROR(IF(G16&gt;0,F16/G16,"-"),"-")</f>
        <v/>
      </c>
      <c r="I16" s="74" t="n">
        <v>36</v>
      </c>
      <c r="J16" s="74">
        <f>IFERROR(IF(I16&gt;0,H16/I16,"-"),"-")</f>
        <v/>
      </c>
      <c r="K16" s="75" t="n">
        <v>6</v>
      </c>
      <c r="L16" s="74" t="n">
        <v>42</v>
      </c>
      <c r="M16" s="74">
        <f>IFERROR(IF(L16&gt;0,K16/L16,"-"),"-")</f>
        <v/>
      </c>
      <c r="N16" s="75" t="n">
        <v>4</v>
      </c>
      <c r="O16" s="74" t="n">
        <v>62</v>
      </c>
      <c r="P16" s="74">
        <f>IFERROR(IF(O16&gt;0,N16/O16,"-"),"-")</f>
        <v/>
      </c>
      <c r="Q16" s="75" t="n">
        <v>5</v>
      </c>
      <c r="R16" s="60" t="n"/>
      <c r="S16" s="60" t="n"/>
    </row>
    <row r="17" ht="15" customHeight="1">
      <c r="A17" s="70" t="n">
        <v>11</v>
      </c>
      <c r="B17" s="71" t="inlineStr">
        <is>
          <t>Bel Collections</t>
        </is>
      </c>
      <c r="C17" s="70" t="inlineStr">
        <is>
          <t>B00014</t>
        </is>
      </c>
      <c r="D17" s="71" t="inlineStr">
        <is>
          <t>Firewood</t>
        </is>
      </c>
      <c r="E17" s="70" t="n"/>
      <c r="F17" s="72">
        <f>SUM(I17:O17)</f>
        <v/>
      </c>
      <c r="G17" s="72">
        <f>SUM(J17:P17)</f>
        <v/>
      </c>
      <c r="H17" s="73">
        <f>IFERROR(IF(G17&gt;0,F17/G17,"-"),"-")</f>
        <v/>
      </c>
      <c r="I17" s="74" t="n">
        <v>2</v>
      </c>
      <c r="J17" s="74">
        <f>IFERROR(IF(I17&gt;0,H17/I17,"-"),"-")</f>
        <v/>
      </c>
      <c r="K17" s="75" t="n">
        <v>1</v>
      </c>
      <c r="L17" s="74" t="n">
        <v>3</v>
      </c>
      <c r="M17" s="74">
        <f>IFERROR(IF(L17&gt;0,K17/L17,"-"),"-")</f>
        <v/>
      </c>
      <c r="N17" s="75" t="n">
        <v>1</v>
      </c>
      <c r="O17" s="74" t="n">
        <v>1</v>
      </c>
      <c r="P17" s="74">
        <f>IFERROR(IF(O17&gt;0,N17/O17,"-"),"-")</f>
        <v/>
      </c>
      <c r="Q17" s="75" t="n">
        <v>1</v>
      </c>
      <c r="R17" s="60" t="n"/>
      <c r="S17" s="60" t="n"/>
    </row>
    <row r="18" ht="15" customHeight="1">
      <c r="A18" s="70" t="n">
        <v>12</v>
      </c>
      <c r="B18" s="71" t="inlineStr">
        <is>
          <t>Bel Collections</t>
        </is>
      </c>
      <c r="C18" s="70" t="inlineStr">
        <is>
          <t>B00015</t>
        </is>
      </c>
      <c r="D18" s="71" t="inlineStr">
        <is>
          <t>Hidden Leather</t>
        </is>
      </c>
      <c r="E18" s="70" t="n"/>
      <c r="F18" s="72">
        <f>SUM(I18:O18)</f>
        <v/>
      </c>
      <c r="G18" s="72">
        <f>SUM(J18:P18)</f>
        <v/>
      </c>
      <c r="H18" s="73">
        <f>IFERROR(IF(G18&gt;0,F18/G18,"-"),"-")</f>
        <v/>
      </c>
      <c r="I18" s="74" t="n">
        <v>3</v>
      </c>
      <c r="J18" s="74">
        <f>IFERROR(IF(I18&gt;0,H18/I18,"-"),"-")</f>
        <v/>
      </c>
      <c r="K18" s="75" t="n"/>
      <c r="L18" s="74" t="n">
        <v>1</v>
      </c>
      <c r="M18" s="74">
        <f>IFERROR(IF(L18&gt;0,K18/L18,"-"),"-")</f>
        <v/>
      </c>
      <c r="N18" s="75" t="n">
        <v>1</v>
      </c>
      <c r="O18" s="74" t="n">
        <v>7</v>
      </c>
      <c r="P18" s="74">
        <f>IFERROR(IF(O18&gt;0,N18/O18,"-"),"-")</f>
        <v/>
      </c>
      <c r="Q18" s="75" t="n">
        <v>1</v>
      </c>
      <c r="R18" s="60" t="n"/>
      <c r="S18" s="60" t="n"/>
    </row>
    <row r="19" ht="15" customHeight="1">
      <c r="A19" s="70" t="n">
        <v>13</v>
      </c>
      <c r="B19" s="71" t="inlineStr">
        <is>
          <t>Bel Collections</t>
        </is>
      </c>
      <c r="C19" s="70" t="inlineStr">
        <is>
          <t>B00017</t>
        </is>
      </c>
      <c r="D19" s="71" t="inlineStr">
        <is>
          <t>Thekrayat</t>
        </is>
      </c>
      <c r="E19" s="70" t="n"/>
      <c r="F19" s="72">
        <f>SUM(I19:O19)</f>
        <v/>
      </c>
      <c r="G19" s="72">
        <f>SUM(J19:P19)</f>
        <v/>
      </c>
      <c r="H19" s="73">
        <f>IFERROR(IF(G19&gt;0,F19/G19,"-"),"-")</f>
        <v/>
      </c>
      <c r="I19" s="74" t="n">
        <v>2</v>
      </c>
      <c r="J19" s="74">
        <f>IFERROR(IF(I19&gt;0,H19/I19,"-"),"-")</f>
        <v/>
      </c>
      <c r="K19" s="75" t="n"/>
      <c r="L19" s="74" t="n">
        <v>4</v>
      </c>
      <c r="M19" s="74">
        <f>IFERROR(IF(L19&gt;0,K19/L19,"-"),"-")</f>
        <v/>
      </c>
      <c r="N19" s="75" t="n">
        <v>1</v>
      </c>
      <c r="O19" s="74" t="n">
        <v>7</v>
      </c>
      <c r="P19" s="74">
        <f>IFERROR(IF(O19&gt;0,N19/O19,"-"),"-")</f>
        <v/>
      </c>
      <c r="Q19" s="75" t="n"/>
      <c r="R19" s="60" t="n"/>
      <c r="S19" s="60" t="n"/>
    </row>
    <row r="20" ht="15" customHeight="1">
      <c r="A20" s="70" t="n">
        <v>14</v>
      </c>
      <c r="B20" s="71" t="inlineStr">
        <is>
          <t>Bel Collections</t>
        </is>
      </c>
      <c r="C20" s="70" t="inlineStr">
        <is>
          <t>B00018</t>
        </is>
      </c>
      <c r="D20" s="71" t="inlineStr">
        <is>
          <t>Hidden Tobacco</t>
        </is>
      </c>
      <c r="E20" s="70" t="n">
        <v>3</v>
      </c>
      <c r="F20" s="72">
        <f>SUM(I20:O20)</f>
        <v/>
      </c>
      <c r="G20" s="72">
        <f>SUM(J20:P20)</f>
        <v/>
      </c>
      <c r="H20" s="73">
        <f>IFERROR(IF(G20&gt;0,F20/G20,"-"),"-")</f>
        <v/>
      </c>
      <c r="I20" s="74" t="n">
        <v>22</v>
      </c>
      <c r="J20" s="74">
        <f>IFERROR(IF(I20&gt;0,H20/I20,"-"),"-")</f>
        <v/>
      </c>
      <c r="K20" s="75" t="n">
        <v>6</v>
      </c>
      <c r="L20" s="74" t="n">
        <v>35</v>
      </c>
      <c r="M20" s="74">
        <f>IFERROR(IF(L20&gt;0,K20/L20,"-"),"-")</f>
        <v/>
      </c>
      <c r="N20" s="75" t="n">
        <v>9</v>
      </c>
      <c r="O20" s="74" t="n">
        <v>68</v>
      </c>
      <c r="P20" s="74">
        <f>IFERROR(IF(O20&gt;0,N20/O20,"-"),"-")</f>
        <v/>
      </c>
      <c r="Q20" s="75" t="n">
        <v>4</v>
      </c>
      <c r="R20" s="60" t="n"/>
      <c r="S20" s="60" t="n"/>
    </row>
    <row r="21" ht="15" customHeight="1">
      <c r="A21" s="70" t="n">
        <v>15</v>
      </c>
      <c r="B21" s="71" t="inlineStr">
        <is>
          <t>Bel Collections</t>
        </is>
      </c>
      <c r="C21" s="70" t="inlineStr">
        <is>
          <t>B00019</t>
        </is>
      </c>
      <c r="D21" s="71" t="inlineStr">
        <is>
          <t>Masters Perfume 100ml</t>
        </is>
      </c>
      <c r="E21" s="70" t="n"/>
      <c r="F21" s="72">
        <f>SUM(I21:O21)</f>
        <v/>
      </c>
      <c r="G21" s="72">
        <f>SUM(J21:P21)</f>
        <v/>
      </c>
      <c r="H21" s="73">
        <f>IFERROR(IF(G21&gt;0,F21/G21,"-"),"-")</f>
        <v/>
      </c>
      <c r="I21" s="74" t="n">
        <v>3</v>
      </c>
      <c r="J21" s="74">
        <f>IFERROR(IF(I21&gt;0,H21/I21,"-"),"-")</f>
        <v/>
      </c>
      <c r="K21" s="75" t="n"/>
      <c r="L21" s="74" t="n">
        <v>1</v>
      </c>
      <c r="M21" s="74">
        <f>IFERROR(IF(L21&gt;0,K21/L21,"-"),"-")</f>
        <v/>
      </c>
      <c r="N21" s="75" t="n"/>
      <c r="O21" s="74" t="n">
        <v>3</v>
      </c>
      <c r="P21" s="74">
        <f>IFERROR(IF(O21&gt;0,N21/O21,"-"),"-")</f>
        <v/>
      </c>
      <c r="Q21" s="75" t="n"/>
      <c r="R21" s="60" t="n"/>
      <c r="S21" s="60" t="n"/>
    </row>
    <row r="22" ht="15" customHeight="1">
      <c r="A22" s="70" t="n">
        <v>16</v>
      </c>
      <c r="B22" s="71" t="inlineStr">
        <is>
          <t>Bel Collections</t>
        </is>
      </c>
      <c r="C22" s="70" t="inlineStr">
        <is>
          <t>B00020</t>
        </is>
      </c>
      <c r="D22" s="71" t="inlineStr">
        <is>
          <t>Masters Signature 100ml Perfume - Tester</t>
        </is>
      </c>
      <c r="E22" s="70" t="n">
        <v>1</v>
      </c>
      <c r="F22" s="72">
        <f>SUM(I22:O22)</f>
        <v/>
      </c>
      <c r="G22" s="72">
        <f>SUM(J22:P22)</f>
        <v/>
      </c>
      <c r="H22" s="73">
        <f>IFERROR(IF(G22&gt;0,F22/G22,"-"),"-")</f>
        <v/>
      </c>
      <c r="I22" s="74" t="n">
        <v>7</v>
      </c>
      <c r="J22" s="74">
        <f>IFERROR(IF(I22&gt;0,H22/I22,"-"),"-")</f>
        <v/>
      </c>
      <c r="K22" s="75" t="n">
        <v>1</v>
      </c>
      <c r="L22" s="74" t="n">
        <v>14</v>
      </c>
      <c r="M22" s="74">
        <f>IFERROR(IF(L22&gt;0,K22/L22,"-"),"-")</f>
        <v/>
      </c>
      <c r="N22" s="75" t="n">
        <v>1</v>
      </c>
      <c r="O22" s="74" t="n">
        <v>13</v>
      </c>
      <c r="P22" s="74">
        <f>IFERROR(IF(O22&gt;0,N22/O22,"-"),"-")</f>
        <v/>
      </c>
      <c r="Q22" s="75" t="n"/>
      <c r="R22" s="60" t="n"/>
      <c r="S22" s="60" t="n"/>
    </row>
    <row r="23" ht="15" customHeight="1">
      <c r="A23" s="70" t="n">
        <v>17</v>
      </c>
      <c r="B23" s="71" t="inlineStr">
        <is>
          <t>Bel Collections</t>
        </is>
      </c>
      <c r="C23" s="70" t="inlineStr">
        <is>
          <t>B00021</t>
        </is>
      </c>
      <c r="D23" s="71" t="inlineStr">
        <is>
          <t>Midnight Bloom 100 ML</t>
        </is>
      </c>
      <c r="E23" s="70" t="n">
        <v>1</v>
      </c>
      <c r="F23" s="72">
        <f>SUM(I23:O23)</f>
        <v/>
      </c>
      <c r="G23" s="72">
        <f>SUM(J23:P23)</f>
        <v/>
      </c>
      <c r="H23" s="73">
        <f>IFERROR(IF(G23&gt;0,F23/G23,"-"),"-")</f>
        <v/>
      </c>
      <c r="I23" s="74" t="n">
        <v>4</v>
      </c>
      <c r="J23" s="74">
        <f>IFERROR(IF(I23&gt;0,H23/I23,"-"),"-")</f>
        <v/>
      </c>
      <c r="K23" s="75" t="n">
        <v>2</v>
      </c>
      <c r="L23" s="74" t="n">
        <v>12</v>
      </c>
      <c r="M23" s="74">
        <f>IFERROR(IF(L23&gt;0,K23/L23,"-"),"-")</f>
        <v/>
      </c>
      <c r="N23" s="75" t="n">
        <v>1</v>
      </c>
      <c r="O23" s="74" t="n">
        <v>6</v>
      </c>
      <c r="P23" s="74">
        <f>IFERROR(IF(O23&gt;0,N23/O23,"-"),"-")</f>
        <v/>
      </c>
      <c r="Q23" s="75" t="n">
        <v>1</v>
      </c>
      <c r="R23" s="60" t="n"/>
      <c r="S23" s="60" t="n"/>
    </row>
    <row r="24" ht="15" customHeight="1">
      <c r="A24" s="76" t="inlineStr">
        <is>
          <t xml:space="preserve">  CABALLO COLLECTION</t>
        </is>
      </c>
      <c r="B24" s="77" t="n"/>
      <c r="C24" s="77" t="n"/>
      <c r="D24" s="77" t="n"/>
      <c r="E24" s="77" t="n">
        <v>2</v>
      </c>
      <c r="F24" s="72">
        <f>SUM(I24:O24)</f>
        <v/>
      </c>
      <c r="G24" s="72">
        <f>SUM(J24:P24)</f>
        <v/>
      </c>
      <c r="H24" s="73">
        <f>IFERROR(IF(G24&gt;0,F24/G24,"-"),"-")</f>
        <v/>
      </c>
      <c r="I24" s="74" t="n">
        <v>12</v>
      </c>
      <c r="J24" s="74">
        <f>IFERROR(IF(I24&gt;0,H24/I24,"-"),"-")</f>
        <v/>
      </c>
      <c r="K24" s="75" t="n">
        <v>3</v>
      </c>
      <c r="L24" s="74" t="n">
        <v>14</v>
      </c>
      <c r="M24" s="74">
        <f>IFERROR(IF(L24&gt;0,K24/L24,"-"),"-")</f>
        <v/>
      </c>
      <c r="N24" s="75" t="n">
        <v>4</v>
      </c>
      <c r="O24" s="74" t="n">
        <v>30</v>
      </c>
      <c r="P24" s="74">
        <f>IFERROR(IF(O24&gt;0,N24/O24,"-"),"-")</f>
        <v/>
      </c>
      <c r="Q24" s="75" t="n">
        <v>1</v>
      </c>
      <c r="R24" s="59" t="n"/>
      <c r="S24" s="59" t="n"/>
    </row>
    <row r="25" ht="15" customHeight="1">
      <c r="A25" s="70" t="n">
        <v>18</v>
      </c>
      <c r="B25" s="71" t="inlineStr">
        <is>
          <t>Caballo Collection</t>
        </is>
      </c>
      <c r="C25" s="70" t="inlineStr">
        <is>
          <t>C00004</t>
        </is>
      </c>
      <c r="D25" s="71" t="inlineStr">
        <is>
          <t>Maroon Perfume 100 ML</t>
        </is>
      </c>
      <c r="E25" s="70" t="n">
        <v>4</v>
      </c>
      <c r="F25" s="72">
        <f>SUM(I25:O25)</f>
        <v/>
      </c>
      <c r="G25" s="72">
        <f>SUM(J25:P25)</f>
        <v/>
      </c>
      <c r="H25" s="73">
        <f>IFERROR(IF(G25&gt;0,F25/G25,"-"),"-")</f>
        <v/>
      </c>
      <c r="I25" s="74" t="n">
        <v>26</v>
      </c>
      <c r="J25" s="74">
        <f>IFERROR(IF(I25&gt;0,H25/I25,"-"),"-")</f>
        <v/>
      </c>
      <c r="K25" s="75" t="n">
        <v>3</v>
      </c>
      <c r="L25" s="74" t="n"/>
      <c r="M25" s="74">
        <f>IFERROR(IF(L25&gt;0,K25/L25,"-"),"-")</f>
        <v/>
      </c>
      <c r="N25" s="75" t="n">
        <v>5</v>
      </c>
      <c r="O25" s="74" t="n">
        <v>29</v>
      </c>
      <c r="P25" s="74">
        <f>IFERROR(IF(O25&gt;0,N25/O25,"-"),"-")</f>
        <v/>
      </c>
      <c r="Q25" s="75" t="n">
        <v>3</v>
      </c>
      <c r="R25" s="60" t="n"/>
      <c r="S25" s="60" t="n"/>
    </row>
    <row r="26" ht="15" customHeight="1">
      <c r="A26" s="70" t="n">
        <v>19</v>
      </c>
      <c r="B26" s="71" t="inlineStr">
        <is>
          <t>Caballo Collection</t>
        </is>
      </c>
      <c r="C26" s="70" t="inlineStr">
        <is>
          <t>C00010</t>
        </is>
      </c>
      <c r="D26" s="71" t="inlineStr">
        <is>
          <t>Maroon Intense</t>
        </is>
      </c>
      <c r="E26" s="70" t="n">
        <v>3</v>
      </c>
      <c r="F26" s="72">
        <f>SUM(I26:O26)</f>
        <v/>
      </c>
      <c r="G26" s="72">
        <f>SUM(J26:P26)</f>
        <v/>
      </c>
      <c r="H26" s="73">
        <f>IFERROR(IF(G26&gt;0,F26/G26,"-"),"-")</f>
        <v/>
      </c>
      <c r="I26" s="74" t="n">
        <v>65</v>
      </c>
      <c r="J26" s="74">
        <f>IFERROR(IF(I26&gt;0,H26/I26,"-"),"-")</f>
        <v/>
      </c>
      <c r="K26" s="75" t="n">
        <v>3</v>
      </c>
      <c r="L26" s="74" t="n"/>
      <c r="M26" s="74">
        <f>IFERROR(IF(L26&gt;0,K26/L26,"-"),"-")</f>
        <v/>
      </c>
      <c r="N26" s="75" t="n">
        <v>8</v>
      </c>
      <c r="O26" s="74" t="n">
        <v>75</v>
      </c>
      <c r="P26" s="74">
        <f>IFERROR(IF(O26&gt;0,N26/O26,"-"),"-")</f>
        <v/>
      </c>
      <c r="Q26" s="75" t="n">
        <v>5</v>
      </c>
      <c r="R26" s="60" t="n"/>
      <c r="S26" s="60" t="n"/>
    </row>
    <row r="27" ht="15" customHeight="1">
      <c r="A27" s="70" t="n">
        <v>20</v>
      </c>
      <c r="B27" s="71" t="inlineStr">
        <is>
          <t>Caballo Collection</t>
        </is>
      </c>
      <c r="C27" s="70" t="inlineStr">
        <is>
          <t>C00011</t>
        </is>
      </c>
      <c r="D27" s="71" t="inlineStr">
        <is>
          <t>Violet Perfume 100ml</t>
        </is>
      </c>
      <c r="E27" s="70" t="n"/>
      <c r="F27" s="72">
        <f>SUM(I27:O27)</f>
        <v/>
      </c>
      <c r="G27" s="72">
        <f>SUM(J27:P27)</f>
        <v/>
      </c>
      <c r="H27" s="73">
        <f>IFERROR(IF(G27&gt;0,F27/G27,"-"),"-")</f>
        <v/>
      </c>
      <c r="I27" s="74" t="n"/>
      <c r="J27" s="74">
        <f>IFERROR(IF(I27&gt;0,H27/I27,"-"),"-")</f>
        <v/>
      </c>
      <c r="K27" s="75" t="n"/>
      <c r="L27" s="74" t="n"/>
      <c r="M27" s="74">
        <f>IFERROR(IF(L27&gt;0,K27/L27,"-"),"-")</f>
        <v/>
      </c>
      <c r="N27" s="75" t="n"/>
      <c r="O27" s="74" t="n"/>
      <c r="P27" s="74">
        <f>IFERROR(IF(O27&gt;0,N27/O27,"-"),"-")</f>
        <v/>
      </c>
      <c r="Q27" s="75" t="n"/>
      <c r="R27" s="60" t="n"/>
      <c r="S27" s="60" t="n"/>
    </row>
    <row r="28" ht="15" customHeight="1">
      <c r="A28" s="70" t="n">
        <v>21</v>
      </c>
      <c r="B28" s="71" t="inlineStr">
        <is>
          <t>Caballo Collection</t>
        </is>
      </c>
      <c r="C28" s="70" t="inlineStr">
        <is>
          <t>C00012</t>
        </is>
      </c>
      <c r="D28" s="71" t="inlineStr">
        <is>
          <t>Navy Perfume 100ml</t>
        </is>
      </c>
      <c r="E28" s="70" t="n"/>
      <c r="F28" s="72">
        <f>SUM(I28:O28)</f>
        <v/>
      </c>
      <c r="G28" s="72">
        <f>SUM(J28:P28)</f>
        <v/>
      </c>
      <c r="H28" s="73">
        <f>IFERROR(IF(G28&gt;0,F28/G28,"-"),"-")</f>
        <v/>
      </c>
      <c r="I28" s="74" t="n">
        <v>8</v>
      </c>
      <c r="J28" s="74">
        <f>IFERROR(IF(I28&gt;0,H28/I28,"-"),"-")</f>
        <v/>
      </c>
      <c r="K28" s="75" t="n"/>
      <c r="L28" s="74" t="n">
        <v>11</v>
      </c>
      <c r="M28" s="74">
        <f>IFERROR(IF(L28&gt;0,K28/L28,"-"),"-")</f>
        <v/>
      </c>
      <c r="N28" s="75" t="n">
        <v>1</v>
      </c>
      <c r="O28" s="74" t="n">
        <v>9</v>
      </c>
      <c r="P28" s="74">
        <f>IFERROR(IF(O28&gt;0,N28/O28,"-"),"-")</f>
        <v/>
      </c>
      <c r="Q28" s="75" t="n">
        <v>1</v>
      </c>
      <c r="R28" s="60" t="n"/>
      <c r="S28" s="60" t="n"/>
    </row>
    <row r="29" ht="15" customHeight="1">
      <c r="A29" s="70" t="n">
        <v>22</v>
      </c>
      <c r="B29" s="71" t="inlineStr">
        <is>
          <t>Caballo Collection</t>
        </is>
      </c>
      <c r="C29" s="70" t="inlineStr">
        <is>
          <t>C00013</t>
        </is>
      </c>
      <c r="D29" s="71" t="inlineStr">
        <is>
          <t>White Overdose Perfume 100ml</t>
        </is>
      </c>
      <c r="E29" s="70" t="n"/>
      <c r="F29" s="72">
        <f>SUM(I29:O29)</f>
        <v/>
      </c>
      <c r="G29" s="72">
        <f>SUM(J29:P29)</f>
        <v/>
      </c>
      <c r="H29" s="73">
        <f>IFERROR(IF(G29&gt;0,F29/G29,"-"),"-")</f>
        <v/>
      </c>
      <c r="I29" s="74" t="n">
        <v>4</v>
      </c>
      <c r="J29" s="74">
        <f>IFERROR(IF(I29&gt;0,H29/I29,"-"),"-")</f>
        <v/>
      </c>
      <c r="K29" s="75" t="n"/>
      <c r="L29" s="74" t="n">
        <v>4</v>
      </c>
      <c r="M29" s="74">
        <f>IFERROR(IF(L29&gt;0,K29/L29,"-"),"-")</f>
        <v/>
      </c>
      <c r="N29" s="75" t="n"/>
      <c r="O29" s="74" t="n">
        <v>8</v>
      </c>
      <c r="P29" s="74">
        <f>IFERROR(IF(O29&gt;0,N29/O29,"-"),"-")</f>
        <v/>
      </c>
      <c r="Q29" s="75" t="n">
        <v>1</v>
      </c>
      <c r="R29" s="60" t="n"/>
      <c r="S29" s="60" t="n"/>
    </row>
    <row r="30" ht="15" customHeight="1">
      <c r="A30" s="76" t="inlineStr">
        <is>
          <t xml:space="preserve">  DAKHOON COLLECTION</t>
        </is>
      </c>
      <c r="B30" s="77" t="n"/>
      <c r="C30" s="77" t="n"/>
      <c r="D30" s="77" t="n"/>
      <c r="E30" s="77" t="n"/>
      <c r="F30" s="72">
        <f>SUM(I30:O30)</f>
        <v/>
      </c>
      <c r="G30" s="72">
        <f>SUM(J30:P30)</f>
        <v/>
      </c>
      <c r="H30" s="73">
        <f>IFERROR(IF(G30&gt;0,F30/G30,"-"),"-")</f>
        <v/>
      </c>
      <c r="I30" s="74" t="n"/>
      <c r="J30" s="74">
        <f>IFERROR(IF(I30&gt;0,H30/I30,"-"),"-")</f>
        <v/>
      </c>
      <c r="K30" s="75" t="n">
        <v>1</v>
      </c>
      <c r="L30" s="74" t="n">
        <v>1</v>
      </c>
      <c r="M30" s="74">
        <f>IFERROR(IF(L30&gt;0,K30/L30,"-"),"-")</f>
        <v/>
      </c>
      <c r="N30" s="75" t="n">
        <v>2</v>
      </c>
      <c r="O30" s="74" t="n">
        <v>3</v>
      </c>
      <c r="P30" s="74">
        <f>IFERROR(IF(O30&gt;0,N30/O30,"-"),"-")</f>
        <v/>
      </c>
      <c r="Q30" s="75" t="n">
        <v>1</v>
      </c>
      <c r="R30" s="59" t="n"/>
      <c r="S30" s="59" t="n"/>
    </row>
    <row r="31" ht="15" customHeight="1">
      <c r="A31" s="70" t="n">
        <v>23</v>
      </c>
      <c r="B31" s="71" t="inlineStr">
        <is>
          <t>Dakhoon Collection</t>
        </is>
      </c>
      <c r="C31" s="70" t="inlineStr">
        <is>
          <t>D00001</t>
        </is>
      </c>
      <c r="D31" s="71" t="inlineStr">
        <is>
          <t>Dakhoon Al Emarat</t>
        </is>
      </c>
      <c r="E31" s="70" t="n"/>
      <c r="F31" s="72">
        <f>SUM(I31:O31)</f>
        <v/>
      </c>
      <c r="G31" s="72">
        <f>SUM(J31:P31)</f>
        <v/>
      </c>
      <c r="H31" s="73">
        <f>IFERROR(IF(G31&gt;0,F31/G31,"-"),"-")</f>
        <v/>
      </c>
      <c r="I31" s="74" t="n"/>
      <c r="J31" s="74">
        <f>IFERROR(IF(I31&gt;0,H31/I31,"-"),"-")</f>
        <v/>
      </c>
      <c r="K31" s="75" t="n">
        <v>1</v>
      </c>
      <c r="L31" s="74" t="n"/>
      <c r="M31" s="74">
        <f>IFERROR(IF(L31&gt;0,K31/L31,"-"),"-")</f>
        <v/>
      </c>
      <c r="N31" s="75" t="n"/>
      <c r="O31" s="74" t="n"/>
      <c r="P31" s="74">
        <f>IFERROR(IF(O31&gt;0,N31/O31,"-"),"-")</f>
        <v/>
      </c>
      <c r="Q31" s="75" t="n">
        <v>1</v>
      </c>
      <c r="R31" s="60" t="n"/>
      <c r="S31" s="60" t="n"/>
    </row>
    <row r="32" ht="15" customHeight="1">
      <c r="A32" s="70" t="n">
        <v>24</v>
      </c>
      <c r="B32" s="71" t="inlineStr">
        <is>
          <t>Dakhoon Collection</t>
        </is>
      </c>
      <c r="C32" s="70" t="inlineStr">
        <is>
          <t>D00002</t>
        </is>
      </c>
      <c r="D32" s="71" t="inlineStr">
        <is>
          <t>Dakhoon Al Marasim</t>
        </is>
      </c>
      <c r="E32" s="70" t="n">
        <v>1</v>
      </c>
      <c r="F32" s="72">
        <f>SUM(I32:O32)</f>
        <v/>
      </c>
      <c r="G32" s="72">
        <f>SUM(J32:P32)</f>
        <v/>
      </c>
      <c r="H32" s="73">
        <f>IFERROR(IF(G32&gt;0,F32/G32,"-"),"-")</f>
        <v/>
      </c>
      <c r="I32" s="74" t="n">
        <v>1</v>
      </c>
      <c r="J32" s="74">
        <f>IFERROR(IF(I32&gt;0,H32/I32,"-"),"-")</f>
        <v/>
      </c>
      <c r="K32" s="75" t="n">
        <v>1</v>
      </c>
      <c r="L32" s="74" t="n">
        <v>12</v>
      </c>
      <c r="M32" s="74">
        <f>IFERROR(IF(L32&gt;0,K32/L32,"-"),"-")</f>
        <v/>
      </c>
      <c r="N32" s="75" t="n">
        <v>1</v>
      </c>
      <c r="O32" s="74" t="n">
        <v>19</v>
      </c>
      <c r="P32" s="74">
        <f>IFERROR(IF(O32&gt;0,N32/O32,"-"),"-")</f>
        <v/>
      </c>
      <c r="Q32" s="75" t="n">
        <v>1</v>
      </c>
      <c r="R32" s="60" t="n"/>
      <c r="S32" s="60" t="n"/>
    </row>
    <row r="33" ht="15" customHeight="1">
      <c r="A33" s="70" t="n">
        <v>25</v>
      </c>
      <c r="B33" s="71" t="inlineStr">
        <is>
          <t>Dakhoon Collection</t>
        </is>
      </c>
      <c r="C33" s="70" t="inlineStr">
        <is>
          <t>D00003</t>
        </is>
      </c>
      <c r="D33" s="71" t="inlineStr">
        <is>
          <t>Dakhoon Badia</t>
        </is>
      </c>
      <c r="E33" s="70" t="n"/>
      <c r="F33" s="72">
        <f>SUM(I33:O33)</f>
        <v/>
      </c>
      <c r="G33" s="72">
        <f>SUM(J33:P33)</f>
        <v/>
      </c>
      <c r="H33" s="73">
        <f>IFERROR(IF(G33&gt;0,F33/G33,"-"),"-")</f>
        <v/>
      </c>
      <c r="I33" s="74" t="n">
        <v>3</v>
      </c>
      <c r="J33" s="74">
        <f>IFERROR(IF(I33&gt;0,H33/I33,"-"),"-")</f>
        <v/>
      </c>
      <c r="K33" s="75" t="n"/>
      <c r="L33" s="74" t="n"/>
      <c r="M33" s="74">
        <f>IFERROR(IF(L33&gt;0,K33/L33,"-"),"-")</f>
        <v/>
      </c>
      <c r="N33" s="75" t="n"/>
      <c r="O33" s="74" t="n"/>
      <c r="P33" s="74">
        <f>IFERROR(IF(O33&gt;0,N33/O33,"-"),"-")</f>
        <v/>
      </c>
      <c r="Q33" s="75" t="n"/>
      <c r="R33" s="60" t="n"/>
      <c r="S33" s="60" t="n"/>
    </row>
    <row r="34" ht="15" customHeight="1">
      <c r="A34" s="70" t="n">
        <v>26</v>
      </c>
      <c r="B34" s="71" t="inlineStr">
        <is>
          <t>Dakhoon Collection</t>
        </is>
      </c>
      <c r="C34" s="70" t="inlineStr">
        <is>
          <t>D00004</t>
        </is>
      </c>
      <c r="D34" s="71" t="inlineStr">
        <is>
          <t>Dakhoon Al Dar</t>
        </is>
      </c>
      <c r="E34" s="70" t="n"/>
      <c r="F34" s="72">
        <f>SUM(I34:O34)</f>
        <v/>
      </c>
      <c r="G34" s="72">
        <f>SUM(J34:P34)</f>
        <v/>
      </c>
      <c r="H34" s="73">
        <f>IFERROR(IF(G34&gt;0,F34/G34,"-"),"-")</f>
        <v/>
      </c>
      <c r="I34" s="74" t="n"/>
      <c r="J34" s="74">
        <f>IFERROR(IF(I34&gt;0,H34/I34,"-"),"-")</f>
        <v/>
      </c>
      <c r="K34" s="75" t="n">
        <v>1</v>
      </c>
      <c r="L34" s="74" t="n">
        <v>5</v>
      </c>
      <c r="M34" s="74">
        <f>IFERROR(IF(L34&gt;0,K34/L34,"-"),"-")</f>
        <v/>
      </c>
      <c r="N34" s="75" t="n">
        <v>1</v>
      </c>
      <c r="O34" s="74" t="n">
        <v>2</v>
      </c>
      <c r="P34" s="74">
        <f>IFERROR(IF(O34&gt;0,N34/O34,"-"),"-")</f>
        <v/>
      </c>
      <c r="Q34" s="75" t="n">
        <v>1</v>
      </c>
      <c r="R34" s="60" t="n"/>
      <c r="S34" s="60" t="n"/>
    </row>
    <row r="35" ht="15" customHeight="1">
      <c r="A35" s="70" t="n">
        <v>27</v>
      </c>
      <c r="B35" s="71" t="inlineStr">
        <is>
          <t>Dakhoon Collection</t>
        </is>
      </c>
      <c r="C35" s="70" t="inlineStr">
        <is>
          <t>D00005</t>
        </is>
      </c>
      <c r="D35" s="71" t="inlineStr">
        <is>
          <t>Dakhoon Al Barzah</t>
        </is>
      </c>
      <c r="E35" s="70" t="n">
        <v>1</v>
      </c>
      <c r="F35" s="72">
        <f>SUM(I35:O35)</f>
        <v/>
      </c>
      <c r="G35" s="72">
        <f>SUM(J35:P35)</f>
        <v/>
      </c>
      <c r="H35" s="73">
        <f>IFERROR(IF(G35&gt;0,F35/G35,"-"),"-")</f>
        <v/>
      </c>
      <c r="I35" s="74" t="n">
        <v>12</v>
      </c>
      <c r="J35" s="74">
        <f>IFERROR(IF(I35&gt;0,H35/I35,"-"),"-")</f>
        <v/>
      </c>
      <c r="K35" s="75" t="n">
        <v>3</v>
      </c>
      <c r="L35" s="74" t="n">
        <v>12</v>
      </c>
      <c r="M35" s="74">
        <f>IFERROR(IF(L35&gt;0,K35/L35,"-"),"-")</f>
        <v/>
      </c>
      <c r="N35" s="75" t="n">
        <v>4</v>
      </c>
      <c r="O35" s="74" t="n">
        <v>22</v>
      </c>
      <c r="P35" s="74">
        <f>IFERROR(IF(O35&gt;0,N35/O35,"-"),"-")</f>
        <v/>
      </c>
      <c r="Q35" s="75" t="n">
        <v>3</v>
      </c>
      <c r="R35" s="60" t="n"/>
      <c r="S35" s="60" t="n"/>
    </row>
    <row r="36" ht="15" customHeight="1">
      <c r="A36" s="70" t="n">
        <v>28</v>
      </c>
      <c r="B36" s="71" t="inlineStr">
        <is>
          <t>Dakhoon Collection</t>
        </is>
      </c>
      <c r="C36" s="70" t="inlineStr">
        <is>
          <t>D00008</t>
        </is>
      </c>
      <c r="D36" s="71" t="inlineStr">
        <is>
          <t>Dakhoon Retaj</t>
        </is>
      </c>
      <c r="E36" s="70" t="n"/>
      <c r="F36" s="72">
        <f>SUM(I36:O36)</f>
        <v/>
      </c>
      <c r="G36" s="72">
        <f>SUM(J36:P36)</f>
        <v/>
      </c>
      <c r="H36" s="73">
        <f>IFERROR(IF(G36&gt;0,F36/G36,"-"),"-")</f>
        <v/>
      </c>
      <c r="I36" s="74" t="n">
        <v>2</v>
      </c>
      <c r="J36" s="74">
        <f>IFERROR(IF(I36&gt;0,H36/I36,"-"),"-")</f>
        <v/>
      </c>
      <c r="K36" s="75" t="n"/>
      <c r="L36" s="74" t="n">
        <v>2</v>
      </c>
      <c r="M36" s="74">
        <f>IFERROR(IF(L36&gt;0,K36/L36,"-"),"-")</f>
        <v/>
      </c>
      <c r="N36" s="75" t="n">
        <v>1</v>
      </c>
      <c r="O36" s="74" t="n"/>
      <c r="P36" s="74">
        <f>IFERROR(IF(O36&gt;0,N36/O36,"-"),"-")</f>
        <v/>
      </c>
      <c r="Q36" s="75" t="n">
        <v>1</v>
      </c>
      <c r="R36" s="60" t="n"/>
      <c r="S36" s="60" t="n"/>
    </row>
    <row r="37" ht="15" customHeight="1">
      <c r="A37" s="76" t="inlineStr">
        <is>
          <t xml:space="preserve">  OUD COLLECTION</t>
        </is>
      </c>
      <c r="B37" s="77" t="n"/>
      <c r="C37" s="77" t="n"/>
      <c r="D37" s="77" t="n"/>
      <c r="E37" s="77" t="n">
        <v>1</v>
      </c>
      <c r="F37" s="72">
        <f>SUM(I37:O37)</f>
        <v/>
      </c>
      <c r="G37" s="72">
        <f>SUM(J37:P37)</f>
        <v/>
      </c>
      <c r="H37" s="73">
        <f>IFERROR(IF(G37&gt;0,F37/G37,"-"),"-")</f>
        <v/>
      </c>
      <c r="I37" s="74" t="n">
        <v>1</v>
      </c>
      <c r="J37" s="74">
        <f>IFERROR(IF(I37&gt;0,H37/I37,"-"),"-")</f>
        <v/>
      </c>
      <c r="K37" s="75" t="n"/>
      <c r="L37" s="74" t="n">
        <v>2</v>
      </c>
      <c r="M37" s="74">
        <f>IFERROR(IF(L37&gt;0,K37/L37,"-"),"-")</f>
        <v/>
      </c>
      <c r="N37" s="75" t="n">
        <v>1</v>
      </c>
      <c r="O37" s="74" t="n">
        <v>5</v>
      </c>
      <c r="P37" s="74">
        <f>IFERROR(IF(O37&gt;0,N37/O37,"-"),"-")</f>
        <v/>
      </c>
      <c r="Q37" s="75" t="n">
        <v>1</v>
      </c>
      <c r="R37" s="59" t="n"/>
      <c r="S37" s="59" t="n"/>
    </row>
    <row r="38" ht="15" customHeight="1">
      <c r="A38" s="70" t="n">
        <v>29</v>
      </c>
      <c r="B38" s="71" t="inlineStr">
        <is>
          <t>Oud Collection</t>
        </is>
      </c>
      <c r="C38" s="70" t="inlineStr">
        <is>
          <t>O00001</t>
        </is>
      </c>
      <c r="D38" s="71" t="inlineStr">
        <is>
          <t>Oud Amiri</t>
        </is>
      </c>
      <c r="E38" s="70" t="n">
        <v>1</v>
      </c>
      <c r="F38" s="72">
        <f>SUM(I38:O38)</f>
        <v/>
      </c>
      <c r="G38" s="72">
        <f>SUM(J38:P38)</f>
        <v/>
      </c>
      <c r="H38" s="73">
        <f>IFERROR(IF(G38&gt;0,F38/G38,"-"),"-")</f>
        <v/>
      </c>
      <c r="I38" s="74" t="n">
        <v>3</v>
      </c>
      <c r="J38" s="74">
        <f>IFERROR(IF(I38&gt;0,H38/I38,"-"),"-")</f>
        <v/>
      </c>
      <c r="K38" s="75" t="n">
        <v>2</v>
      </c>
      <c r="L38" s="74" t="n">
        <v>10</v>
      </c>
      <c r="M38" s="74">
        <f>IFERROR(IF(L38&gt;0,K38/L38,"-"),"-")</f>
        <v/>
      </c>
      <c r="N38" s="75" t="n">
        <v>4</v>
      </c>
      <c r="O38" s="74" t="n">
        <v>17</v>
      </c>
      <c r="P38" s="74">
        <f>IFERROR(IF(O38&gt;0,N38/O38,"-"),"-")</f>
        <v/>
      </c>
      <c r="Q38" s="75" t="n">
        <v>2</v>
      </c>
      <c r="R38" s="60" t="n"/>
      <c r="S38" s="60" t="n"/>
    </row>
    <row r="39" ht="15" customHeight="1">
      <c r="A39" s="70" t="n">
        <v>30</v>
      </c>
      <c r="B39" s="71" t="inlineStr">
        <is>
          <t>Oud Collection</t>
        </is>
      </c>
      <c r="C39" s="70" t="inlineStr">
        <is>
          <t>O00002</t>
        </is>
      </c>
      <c r="D39" s="71" t="inlineStr">
        <is>
          <t>Oud Meydan</t>
        </is>
      </c>
      <c r="E39" s="70" t="n"/>
      <c r="F39" s="72">
        <f>SUM(I39:O39)</f>
        <v/>
      </c>
      <c r="G39" s="72">
        <f>SUM(J39:P39)</f>
        <v/>
      </c>
      <c r="H39" s="73">
        <f>IFERROR(IF(G39&gt;0,F39/G39,"-"),"-")</f>
        <v/>
      </c>
      <c r="I39" s="74" t="n"/>
      <c r="J39" s="74">
        <f>IFERROR(IF(I39&gt;0,H39/I39,"-"),"-")</f>
        <v/>
      </c>
      <c r="K39" s="75" t="n">
        <v>1</v>
      </c>
      <c r="L39" s="74" t="n">
        <v>1</v>
      </c>
      <c r="M39" s="74">
        <f>IFERROR(IF(L39&gt;0,K39/L39,"-"),"-")</f>
        <v/>
      </c>
      <c r="N39" s="75" t="n"/>
      <c r="O39" s="74" t="n"/>
      <c r="P39" s="74">
        <f>IFERROR(IF(O39&gt;0,N39/O39,"-"),"-")</f>
        <v/>
      </c>
      <c r="Q39" s="75" t="n">
        <v>1</v>
      </c>
      <c r="R39" s="60" t="n"/>
      <c r="S39" s="60" t="n"/>
    </row>
    <row r="40" ht="15" customHeight="1">
      <c r="A40" s="70" t="n">
        <v>31</v>
      </c>
      <c r="B40" s="71" t="inlineStr">
        <is>
          <t>Oud Collection</t>
        </is>
      </c>
      <c r="C40" s="70" t="inlineStr">
        <is>
          <t>O00006</t>
        </is>
      </c>
      <c r="D40" s="71" t="inlineStr">
        <is>
          <t>Oud Al Fakhamah</t>
        </is>
      </c>
      <c r="E40" s="70" t="n"/>
      <c r="F40" s="72">
        <f>SUM(I40:O40)</f>
        <v/>
      </c>
      <c r="G40" s="72">
        <f>SUM(J40:P40)</f>
        <v/>
      </c>
      <c r="H40" s="73">
        <f>IFERROR(IF(G40&gt;0,F40/G40,"-"),"-")</f>
        <v/>
      </c>
      <c r="I40" s="74" t="n">
        <v>4</v>
      </c>
      <c r="J40" s="74">
        <f>IFERROR(IF(I40&gt;0,H40/I40,"-"),"-")</f>
        <v/>
      </c>
      <c r="K40" s="75" t="n"/>
      <c r="L40" s="74" t="n"/>
      <c r="M40" s="74">
        <f>IFERROR(IF(L40&gt;0,K40/L40,"-"),"-")</f>
        <v/>
      </c>
      <c r="N40" s="75" t="n">
        <v>1</v>
      </c>
      <c r="O40" s="74" t="n">
        <v>3</v>
      </c>
      <c r="P40" s="74">
        <f>IFERROR(IF(O40&gt;0,N40/O40,"-"),"-")</f>
        <v/>
      </c>
      <c r="Q40" s="75" t="n">
        <v>1</v>
      </c>
      <c r="R40" s="60" t="n"/>
      <c r="S40" s="60" t="n"/>
    </row>
    <row r="41" ht="15" customHeight="1">
      <c r="A41" s="76" t="inlineStr">
        <is>
          <t xml:space="preserve">  FUTURE COLLECTION</t>
        </is>
      </c>
      <c r="B41" s="77" t="n"/>
      <c r="C41" s="77" t="n"/>
      <c r="D41" s="77" t="n"/>
      <c r="E41" s="77" t="n"/>
      <c r="F41" s="72">
        <f>SUM(I41:O41)</f>
        <v/>
      </c>
      <c r="G41" s="72">
        <f>SUM(J41:P41)</f>
        <v/>
      </c>
      <c r="H41" s="73">
        <f>IFERROR(IF(G41&gt;0,F41/G41,"-"),"-")</f>
        <v/>
      </c>
      <c r="I41" s="74" t="n">
        <v>1</v>
      </c>
      <c r="J41" s="74">
        <f>IFERROR(IF(I41&gt;0,H41/I41,"-"),"-")</f>
        <v/>
      </c>
      <c r="K41" s="75" t="n"/>
      <c r="L41" s="74" t="n"/>
      <c r="M41" s="74">
        <f>IFERROR(IF(L41&gt;0,K41/L41,"-"),"-")</f>
        <v/>
      </c>
      <c r="N41" s="75" t="n"/>
      <c r="O41" s="74" t="n"/>
      <c r="P41" s="74">
        <f>IFERROR(IF(O41&gt;0,N41/O41,"-"),"-")</f>
        <v/>
      </c>
      <c r="Q41" s="75" t="n">
        <v>1</v>
      </c>
      <c r="R41" s="59" t="n"/>
      <c r="S41" s="59" t="n"/>
    </row>
    <row r="42" ht="15" customHeight="1">
      <c r="A42" s="70" t="n">
        <v>32</v>
      </c>
      <c r="B42" s="71" t="inlineStr">
        <is>
          <t>Future Collection</t>
        </is>
      </c>
      <c r="C42" s="70" t="inlineStr">
        <is>
          <t>SP0037</t>
        </is>
      </c>
      <c r="D42" s="71" t="inlineStr">
        <is>
          <t>Future Bakhoor 100 ml Perfume</t>
        </is>
      </c>
      <c r="E42" s="70" t="n"/>
      <c r="F42" s="72">
        <f>SUM(I42:O42)</f>
        <v/>
      </c>
      <c r="G42" s="72">
        <f>SUM(J42:P42)</f>
        <v/>
      </c>
      <c r="H42" s="73">
        <f>IFERROR(IF(G42&gt;0,F42/G42,"-"),"-")</f>
        <v/>
      </c>
      <c r="I42" s="74" t="n">
        <v>2</v>
      </c>
      <c r="J42" s="74">
        <f>IFERROR(IF(I42&gt;0,H42/I42,"-"),"-")</f>
        <v/>
      </c>
      <c r="K42" s="75" t="n"/>
      <c r="L42" s="74" t="n"/>
      <c r="M42" s="74">
        <f>IFERROR(IF(L42&gt;0,K42/L42,"-"),"-")</f>
        <v/>
      </c>
      <c r="N42" s="75" t="n"/>
      <c r="O42" s="74" t="n">
        <v>1</v>
      </c>
      <c r="P42" s="74">
        <f>IFERROR(IF(O42&gt;0,N42/O42,"-"),"-")</f>
        <v/>
      </c>
      <c r="Q42" s="75" t="n"/>
      <c r="R42" s="60" t="n"/>
      <c r="S42" s="60" t="n"/>
    </row>
    <row r="43" ht="15" customHeight="1">
      <c r="A43" s="70" t="n">
        <v>33</v>
      </c>
      <c r="B43" s="71" t="inlineStr">
        <is>
          <t>Future Collection</t>
        </is>
      </c>
      <c r="C43" s="70" t="inlineStr">
        <is>
          <t>SP0038</t>
        </is>
      </c>
      <c r="D43" s="71" t="inlineStr">
        <is>
          <t>Future Oud 100 ml Perfume</t>
        </is>
      </c>
      <c r="E43" s="70" t="n"/>
      <c r="F43" s="72">
        <f>SUM(I43:O43)</f>
        <v/>
      </c>
      <c r="G43" s="72">
        <f>SUM(J43:P43)</f>
        <v/>
      </c>
      <c r="H43" s="73">
        <f>IFERROR(IF(G43&gt;0,F43/G43,"-"),"-")</f>
        <v/>
      </c>
      <c r="I43" s="74" t="n">
        <v>3</v>
      </c>
      <c r="J43" s="74">
        <f>IFERROR(IF(I43&gt;0,H43/I43,"-"),"-")</f>
        <v/>
      </c>
      <c r="K43" s="75" t="n"/>
      <c r="L43" s="74" t="n">
        <v>4</v>
      </c>
      <c r="M43" s="74">
        <f>IFERROR(IF(L43&gt;0,K43/L43,"-"),"-")</f>
        <v/>
      </c>
      <c r="N43" s="75" t="n">
        <v>1</v>
      </c>
      <c r="O43" s="74" t="n">
        <v>4</v>
      </c>
      <c r="P43" s="74">
        <f>IFERROR(IF(O43&gt;0,N43/O43,"-"),"-")</f>
        <v/>
      </c>
      <c r="Q43" s="75" t="n">
        <v>1</v>
      </c>
      <c r="R43" s="60" t="n"/>
      <c r="S43" s="60" t="n"/>
    </row>
    <row r="44" ht="15" customHeight="1">
      <c r="A44" s="76" t="inlineStr">
        <is>
          <t xml:space="preserve">  SPECIAL SETS</t>
        </is>
      </c>
      <c r="B44" s="77" t="n"/>
      <c r="C44" s="77" t="n"/>
      <c r="D44" s="77" t="n"/>
      <c r="E44" s="77" t="n"/>
      <c r="F44" s="72">
        <f>SUM(I44:O44)</f>
        <v/>
      </c>
      <c r="G44" s="72">
        <f>SUM(J44:P44)</f>
        <v/>
      </c>
      <c r="H44" s="73">
        <f>IFERROR(IF(G44&gt;0,F44/G44,"-"),"-")</f>
        <v/>
      </c>
      <c r="I44" s="74" t="n">
        <v>1</v>
      </c>
      <c r="J44" s="74">
        <f>IFERROR(IF(I44&gt;0,H44/I44,"-"),"-")</f>
        <v/>
      </c>
      <c r="K44" s="75" t="n"/>
      <c r="L44" s="74" t="n">
        <v>2</v>
      </c>
      <c r="M44" s="74">
        <f>IFERROR(IF(L44&gt;0,K44/L44,"-"),"-")</f>
        <v/>
      </c>
      <c r="N44" s="75" t="n"/>
      <c r="O44" s="74" t="n">
        <v>5</v>
      </c>
      <c r="P44" s="74">
        <f>IFERROR(IF(O44&gt;0,N44/O44,"-"),"-")</f>
        <v/>
      </c>
      <c r="Q44" s="75" t="n">
        <v>1</v>
      </c>
      <c r="R44" s="59" t="n"/>
      <c r="S44" s="59" t="n"/>
    </row>
    <row r="45" ht="15" customHeight="1">
      <c r="A45" s="70" t="n">
        <v>34</v>
      </c>
      <c r="B45" s="71" t="inlineStr">
        <is>
          <t>Special Sets</t>
        </is>
      </c>
      <c r="C45" s="70" t="inlineStr">
        <is>
          <t>SP0001</t>
        </is>
      </c>
      <c r="D45" s="71" t="inlineStr">
        <is>
          <t>White Oud</t>
        </is>
      </c>
      <c r="E45" s="70" t="n"/>
      <c r="F45" s="72">
        <f>SUM(I45:O45)</f>
        <v/>
      </c>
      <c r="G45" s="72">
        <f>SUM(J45:P45)</f>
        <v/>
      </c>
      <c r="H45" s="73">
        <f>IFERROR(IF(G45&gt;0,F45/G45,"-"),"-")</f>
        <v/>
      </c>
      <c r="I45" s="74" t="n">
        <v>1</v>
      </c>
      <c r="J45" s="74">
        <f>IFERROR(IF(I45&gt;0,H45/I45,"-"),"-")</f>
        <v/>
      </c>
      <c r="K45" s="75" t="n"/>
      <c r="L45" s="74" t="n">
        <v>1</v>
      </c>
      <c r="M45" s="74">
        <f>IFERROR(IF(L45&gt;0,K45/L45,"-"),"-")</f>
        <v/>
      </c>
      <c r="N45" s="75" t="n">
        <v>1</v>
      </c>
      <c r="O45" s="74" t="n">
        <v>3</v>
      </c>
      <c r="P45" s="74">
        <f>IFERROR(IF(O45&gt;0,N45/O45,"-"),"-")</f>
        <v/>
      </c>
      <c r="Q45" s="75" t="n"/>
      <c r="R45" s="60" t="n"/>
      <c r="S45" s="60" t="n"/>
    </row>
    <row r="46" ht="15" customHeight="1">
      <c r="A46" s="70" t="n">
        <v>35</v>
      </c>
      <c r="B46" s="71" t="inlineStr">
        <is>
          <t>Special Sets</t>
        </is>
      </c>
      <c r="C46" s="70" t="inlineStr">
        <is>
          <t>SP0005</t>
        </is>
      </c>
      <c r="D46" s="71" t="inlineStr">
        <is>
          <t>No.4</t>
        </is>
      </c>
      <c r="E46" s="70" t="n"/>
      <c r="F46" s="72">
        <f>SUM(I46:O46)</f>
        <v/>
      </c>
      <c r="G46" s="72">
        <f>SUM(J46:P46)</f>
        <v/>
      </c>
      <c r="H46" s="73">
        <f>IFERROR(IF(G46&gt;0,F46/G46,"-"),"-")</f>
        <v/>
      </c>
      <c r="I46" s="74" t="n"/>
      <c r="J46" s="74">
        <f>IFERROR(IF(I46&gt;0,H46/I46,"-"),"-")</f>
        <v/>
      </c>
      <c r="K46" s="75" t="n"/>
      <c r="L46" s="74" t="n"/>
      <c r="M46" s="74">
        <f>IFERROR(IF(L46&gt;0,K46/L46,"-"),"-")</f>
        <v/>
      </c>
      <c r="N46" s="75" t="n"/>
      <c r="O46" s="74" t="n">
        <v>1</v>
      </c>
      <c r="P46" s="74">
        <f>IFERROR(IF(O46&gt;0,N46/O46,"-"),"-")</f>
        <v/>
      </c>
      <c r="Q46" s="75" t="n"/>
      <c r="R46" s="60" t="n"/>
      <c r="S46" s="60" t="n"/>
    </row>
    <row r="47" ht="15" customHeight="1">
      <c r="A47" s="70" t="n">
        <v>36</v>
      </c>
      <c r="B47" s="71" t="inlineStr">
        <is>
          <t>Special Sets</t>
        </is>
      </c>
      <c r="C47" s="70" t="inlineStr">
        <is>
          <t>SP0017</t>
        </is>
      </c>
      <c r="D47" s="71" t="inlineStr">
        <is>
          <t>White Oud Oil 8ml</t>
        </is>
      </c>
      <c r="E47" s="70" t="n">
        <v>6</v>
      </c>
      <c r="F47" s="72">
        <f>SUM(I47:O47)</f>
        <v/>
      </c>
      <c r="G47" s="72">
        <f>SUM(J47:P47)</f>
        <v/>
      </c>
      <c r="H47" s="73">
        <f>IFERROR(IF(G47&gt;0,F47/G47,"-"),"-")</f>
        <v/>
      </c>
      <c r="I47" s="74" t="n">
        <v>65</v>
      </c>
      <c r="J47" s="74">
        <f>IFERROR(IF(I47&gt;0,H47/I47,"-"),"-")</f>
        <v/>
      </c>
      <c r="K47" s="75" t="n">
        <v>5</v>
      </c>
      <c r="L47" s="74" t="n">
        <v>97</v>
      </c>
      <c r="M47" s="74">
        <f>IFERROR(IF(L47&gt;0,K47/L47,"-"),"-")</f>
        <v/>
      </c>
      <c r="N47" s="75" t="n">
        <v>9</v>
      </c>
      <c r="O47" s="74" t="n">
        <v>147</v>
      </c>
      <c r="P47" s="74">
        <f>IFERROR(IF(O47&gt;0,N47/O47,"-"),"-")</f>
        <v/>
      </c>
      <c r="Q47" s="75" t="n">
        <v>4</v>
      </c>
      <c r="R47" s="60" t="n"/>
      <c r="S47" s="60" t="n"/>
    </row>
    <row r="48" ht="15" customHeight="1">
      <c r="A48" s="70" t="n">
        <v>37</v>
      </c>
      <c r="B48" s="71" t="inlineStr">
        <is>
          <t>Special Sets</t>
        </is>
      </c>
      <c r="C48" s="70" t="inlineStr">
        <is>
          <t>SP0018</t>
        </is>
      </c>
      <c r="D48" s="71" t="inlineStr">
        <is>
          <t>More Of Oud Oil 8ml</t>
        </is>
      </c>
      <c r="E48" s="70" t="n"/>
      <c r="F48" s="72">
        <f>SUM(I48:O48)</f>
        <v/>
      </c>
      <c r="G48" s="72">
        <f>SUM(J48:P48)</f>
        <v/>
      </c>
      <c r="H48" s="73">
        <f>IFERROR(IF(G48&gt;0,F48/G48,"-"),"-")</f>
        <v/>
      </c>
      <c r="I48" s="74" t="n">
        <v>1</v>
      </c>
      <c r="J48" s="74">
        <f>IFERROR(IF(I48&gt;0,H48/I48,"-"),"-")</f>
        <v/>
      </c>
      <c r="K48" s="75" t="n"/>
      <c r="L48" s="74" t="n"/>
      <c r="M48" s="74">
        <f>IFERROR(IF(L48&gt;0,K48/L48,"-"),"-")</f>
        <v/>
      </c>
      <c r="N48" s="75" t="n"/>
      <c r="O48" s="74" t="n">
        <v>1</v>
      </c>
      <c r="P48" s="74">
        <f>IFERROR(IF(O48&gt;0,N48/O48,"-"),"-")</f>
        <v/>
      </c>
      <c r="Q48" s="75" t="n"/>
      <c r="R48" s="60" t="n"/>
      <c r="S48" s="60" t="n"/>
    </row>
    <row r="49" ht="15" customHeight="1">
      <c r="A49" s="76" t="inlineStr">
        <is>
          <t xml:space="preserve">  OILS &amp; CPO</t>
        </is>
      </c>
      <c r="B49" s="77" t="n"/>
      <c r="C49" s="77" t="n"/>
      <c r="D49" s="77" t="n"/>
      <c r="E49" s="77" t="n"/>
      <c r="F49" s="72">
        <f>SUM(I49:O49)</f>
        <v/>
      </c>
      <c r="G49" s="72">
        <f>SUM(J49:P49)</f>
        <v/>
      </c>
      <c r="H49" s="73">
        <f>IFERROR(IF(G49&gt;0,F49/G49,"-"),"-")</f>
        <v/>
      </c>
      <c r="I49" s="74" t="n"/>
      <c r="J49" s="74">
        <f>IFERROR(IF(I49&gt;0,H49/I49,"-"),"-")</f>
        <v/>
      </c>
      <c r="K49" s="75" t="n"/>
      <c r="L49" s="74" t="n"/>
      <c r="M49" s="74">
        <f>IFERROR(IF(L49&gt;0,K49/L49,"-"),"-")</f>
        <v/>
      </c>
      <c r="N49" s="75" t="n"/>
      <c r="O49" s="74" t="n"/>
      <c r="P49" s="74">
        <f>IFERROR(IF(O49&gt;0,N49/O49,"-"),"-")</f>
        <v/>
      </c>
      <c r="Q49" s="75" t="n"/>
      <c r="R49" s="59" t="n"/>
      <c r="S49" s="59" t="n"/>
    </row>
    <row r="50" ht="15" customHeight="1">
      <c r="A50" s="70" t="n">
        <v>38</v>
      </c>
      <c r="B50" s="71" t="inlineStr">
        <is>
          <t>Oils &amp; CPO</t>
        </is>
      </c>
      <c r="C50" s="70" t="inlineStr">
        <is>
          <t>I00001</t>
        </is>
      </c>
      <c r="D50" s="71" t="inlineStr">
        <is>
          <t>Hindi Special</t>
        </is>
      </c>
      <c r="E50" s="70" t="n"/>
      <c r="F50" s="72">
        <f>SUM(I50:O50)</f>
        <v/>
      </c>
      <c r="G50" s="72">
        <f>SUM(J50:P50)</f>
        <v/>
      </c>
      <c r="H50" s="73">
        <f>IFERROR(IF(G50&gt;0,F50/G50,"-"),"-")</f>
        <v/>
      </c>
      <c r="I50" s="74" t="n"/>
      <c r="J50" s="74">
        <f>IFERROR(IF(I50&gt;0,H50/I50,"-"),"-")</f>
        <v/>
      </c>
      <c r="K50" s="75" t="n"/>
      <c r="L50" s="74" t="n"/>
      <c r="M50" s="74">
        <f>IFERROR(IF(L50&gt;0,K50/L50,"-"),"-")</f>
        <v/>
      </c>
      <c r="N50" s="75" t="n"/>
      <c r="O50" s="74" t="n"/>
      <c r="P50" s="74">
        <f>IFERROR(IF(O50&gt;0,N50/O50,"-"),"-")</f>
        <v/>
      </c>
      <c r="Q50" s="75" t="n"/>
      <c r="R50" s="60" t="n"/>
      <c r="S50" s="60" t="n"/>
    </row>
    <row r="51" ht="15" customHeight="1">
      <c r="A51" s="70" t="n">
        <v>39</v>
      </c>
      <c r="B51" s="71" t="inlineStr">
        <is>
          <t>Oils &amp; CPO</t>
        </is>
      </c>
      <c r="C51" s="70" t="inlineStr">
        <is>
          <t>I00002</t>
        </is>
      </c>
      <c r="D51" s="71" t="inlineStr">
        <is>
          <t>Seufi Special</t>
        </is>
      </c>
      <c r="E51" s="70" t="n"/>
      <c r="F51" s="72">
        <f>SUM(I51:O51)</f>
        <v/>
      </c>
      <c r="G51" s="72">
        <f>SUM(J51:P51)</f>
        <v/>
      </c>
      <c r="H51" s="73">
        <f>IFERROR(IF(G51&gt;0,F51/G51,"-"),"-")</f>
        <v/>
      </c>
      <c r="I51" s="74" t="n">
        <v>4</v>
      </c>
      <c r="J51" s="74">
        <f>IFERROR(IF(I51&gt;0,H51/I51,"-"),"-")</f>
        <v/>
      </c>
      <c r="K51" s="75" t="n"/>
      <c r="L51" s="74" t="n"/>
      <c r="M51" s="74">
        <f>IFERROR(IF(L51&gt;0,K51/L51,"-"),"-")</f>
        <v/>
      </c>
      <c r="N51" s="75" t="n"/>
      <c r="O51" s="74" t="n"/>
      <c r="P51" s="74">
        <f>IFERROR(IF(O51&gt;0,N51/O51,"-"),"-")</f>
        <v/>
      </c>
      <c r="Q51" s="75" t="n"/>
      <c r="R51" s="60" t="n"/>
      <c r="S51" s="60" t="n"/>
    </row>
    <row r="52" ht="15" customHeight="1">
      <c r="A52" s="70" t="n">
        <v>40</v>
      </c>
      <c r="B52" s="71" t="inlineStr">
        <is>
          <t>Oils &amp; CPO</t>
        </is>
      </c>
      <c r="C52" s="70" t="inlineStr">
        <is>
          <t>I00003</t>
        </is>
      </c>
      <c r="D52" s="71" t="inlineStr">
        <is>
          <t>White Oil -8 ML</t>
        </is>
      </c>
      <c r="E52" s="70" t="n"/>
      <c r="F52" s="72">
        <f>SUM(I52:O52)</f>
        <v/>
      </c>
      <c r="G52" s="72">
        <f>SUM(J52:P52)</f>
        <v/>
      </c>
      <c r="H52" s="73">
        <f>IFERROR(IF(G52&gt;0,F52/G52,"-"),"-")</f>
        <v/>
      </c>
      <c r="I52" s="74" t="n"/>
      <c r="J52" s="74">
        <f>IFERROR(IF(I52&gt;0,H52/I52,"-"),"-")</f>
        <v/>
      </c>
      <c r="K52" s="75" t="n"/>
      <c r="L52" s="74" t="n"/>
      <c r="M52" s="74">
        <f>IFERROR(IF(L52&gt;0,K52/L52,"-"),"-")</f>
        <v/>
      </c>
      <c r="N52" s="75" t="n"/>
      <c r="O52" s="74" t="n"/>
      <c r="P52" s="74">
        <f>IFERROR(IF(O52&gt;0,N52/O52,"-"),"-")</f>
        <v/>
      </c>
      <c r="Q52" s="75" t="n"/>
      <c r="R52" s="60" t="n"/>
      <c r="S52" s="60" t="n"/>
    </row>
    <row r="53" ht="15" customHeight="1">
      <c r="A53" s="70" t="n">
        <v>41</v>
      </c>
      <c r="B53" s="71" t="inlineStr">
        <is>
          <t>Oils &amp; CPO</t>
        </is>
      </c>
      <c r="C53" s="70" t="inlineStr">
        <is>
          <t>I00004</t>
        </is>
      </c>
      <c r="D53" s="71" t="inlineStr">
        <is>
          <t>Maroon Oil - 8 ML</t>
        </is>
      </c>
      <c r="E53" s="70" t="n"/>
      <c r="F53" s="72">
        <f>SUM(I53:O53)</f>
        <v/>
      </c>
      <c r="G53" s="72">
        <f>SUM(J53:P53)</f>
        <v/>
      </c>
      <c r="H53" s="73">
        <f>IFERROR(IF(G53&gt;0,F53/G53,"-"),"-")</f>
        <v/>
      </c>
      <c r="I53" s="74" t="n"/>
      <c r="J53" s="74">
        <f>IFERROR(IF(I53&gt;0,H53/I53,"-"),"-")</f>
        <v/>
      </c>
      <c r="K53" s="75" t="n"/>
      <c r="L53" s="74" t="n"/>
      <c r="M53" s="74">
        <f>IFERROR(IF(L53&gt;0,K53/L53,"-"),"-")</f>
        <v/>
      </c>
      <c r="N53" s="75" t="n"/>
      <c r="O53" s="74" t="n"/>
      <c r="P53" s="74">
        <f>IFERROR(IF(O53&gt;0,N53/O53,"-"),"-")</f>
        <v/>
      </c>
      <c r="Q53" s="75" t="n"/>
      <c r="R53" s="60" t="n"/>
      <c r="S53" s="60" t="n"/>
    </row>
    <row r="54" ht="15" customHeight="1">
      <c r="A54" s="70" t="n">
        <v>42</v>
      </c>
      <c r="B54" s="71" t="inlineStr">
        <is>
          <t>Oils &amp; CPO</t>
        </is>
      </c>
      <c r="C54" s="70" t="inlineStr">
        <is>
          <t>I00005</t>
        </is>
      </c>
      <c r="D54" s="71" t="inlineStr">
        <is>
          <t>NO.4 Oil -8 ML</t>
        </is>
      </c>
      <c r="E54" s="70" t="n"/>
      <c r="F54" s="72">
        <f>SUM(I54:O54)</f>
        <v/>
      </c>
      <c r="G54" s="72">
        <f>SUM(J54:P54)</f>
        <v/>
      </c>
      <c r="H54" s="73">
        <f>IFERROR(IF(G54&gt;0,F54/G54,"-"),"-")</f>
        <v/>
      </c>
      <c r="I54" s="74" t="n"/>
      <c r="J54" s="74">
        <f>IFERROR(IF(I54&gt;0,H54/I54,"-"),"-")</f>
        <v/>
      </c>
      <c r="K54" s="75" t="n"/>
      <c r="L54" s="74" t="n"/>
      <c r="M54" s="74">
        <f>IFERROR(IF(L54&gt;0,K54/L54,"-"),"-")</f>
        <v/>
      </c>
      <c r="N54" s="75" t="n"/>
      <c r="O54" s="74" t="n"/>
      <c r="P54" s="74">
        <f>IFERROR(IF(O54&gt;0,N54/O54,"-"),"-")</f>
        <v/>
      </c>
      <c r="Q54" s="75" t="n"/>
      <c r="R54" s="60" t="n"/>
      <c r="S54" s="60" t="n"/>
    </row>
    <row r="55" ht="15" customHeight="1">
      <c r="A55" s="76" t="inlineStr">
        <is>
          <t xml:space="preserve">  ACCESSORIES</t>
        </is>
      </c>
      <c r="B55" s="77" t="n"/>
      <c r="C55" s="77" t="n"/>
      <c r="D55" s="77" t="n"/>
      <c r="E55" s="77" t="n"/>
      <c r="F55" s="72">
        <f>SUM(I55:O55)</f>
        <v/>
      </c>
      <c r="G55" s="72">
        <f>SUM(J55:P55)</f>
        <v/>
      </c>
      <c r="H55" s="73">
        <f>IFERROR(IF(G55&gt;0,F55/G55,"-"),"-")</f>
        <v/>
      </c>
      <c r="I55" s="74" t="n"/>
      <c r="J55" s="74">
        <f>IFERROR(IF(I55&gt;0,H55/I55,"-"),"-")</f>
        <v/>
      </c>
      <c r="K55" s="75" t="n"/>
      <c r="L55" s="74" t="n"/>
      <c r="M55" s="74">
        <f>IFERROR(IF(L55&gt;0,K55/L55,"-"),"-")</f>
        <v/>
      </c>
      <c r="N55" s="75" t="n"/>
      <c r="O55" s="74" t="n"/>
      <c r="P55" s="74">
        <f>IFERROR(IF(O55&gt;0,N55/O55,"-"),"-")</f>
        <v/>
      </c>
      <c r="Q55" s="75" t="n"/>
      <c r="R55" s="59" t="n"/>
      <c r="S55" s="59" t="n"/>
    </row>
    <row r="56" ht="15" customHeight="1">
      <c r="A56" s="70" t="n">
        <v>43</v>
      </c>
      <c r="B56" s="71" t="inlineStr">
        <is>
          <t>Accessories</t>
        </is>
      </c>
      <c r="C56" s="70" t="inlineStr">
        <is>
          <t>AC0001</t>
        </is>
      </c>
      <c r="D56" s="71" t="inlineStr">
        <is>
          <t>Medkhan Small</t>
        </is>
      </c>
      <c r="E56" s="70" t="n"/>
      <c r="F56" s="72">
        <f>SUM(I56:O56)</f>
        <v/>
      </c>
      <c r="G56" s="72">
        <f>SUM(J56:P56)</f>
        <v/>
      </c>
      <c r="H56" s="73">
        <f>IFERROR(IF(G56&gt;0,F56/G56,"-"),"-")</f>
        <v/>
      </c>
      <c r="I56" s="74" t="n">
        <v>1</v>
      </c>
      <c r="J56" s="74">
        <f>IFERROR(IF(I56&gt;0,H56/I56,"-"),"-")</f>
        <v/>
      </c>
      <c r="K56" s="75" t="n"/>
      <c r="L56" s="74" t="n">
        <v>1</v>
      </c>
      <c r="M56" s="74">
        <f>IFERROR(IF(L56&gt;0,K56/L56,"-"),"-")</f>
        <v/>
      </c>
      <c r="N56" s="75" t="n">
        <v>1</v>
      </c>
      <c r="O56" s="74" t="n">
        <v>6</v>
      </c>
      <c r="P56" s="74">
        <f>IFERROR(IF(O56&gt;0,N56/O56,"-"),"-")</f>
        <v/>
      </c>
      <c r="Q56" s="75" t="n"/>
      <c r="R56" s="60" t="n"/>
      <c r="S56" s="60" t="n"/>
    </row>
    <row r="57" ht="15" customHeight="1">
      <c r="A57" s="70" t="n">
        <v>44</v>
      </c>
      <c r="B57" s="71" t="inlineStr">
        <is>
          <t>Accessories</t>
        </is>
      </c>
      <c r="C57" s="70" t="inlineStr">
        <is>
          <t>AC0003</t>
        </is>
      </c>
      <c r="D57" s="71" t="inlineStr">
        <is>
          <t>Lighter</t>
        </is>
      </c>
      <c r="E57" s="70" t="n"/>
      <c r="F57" s="72">
        <f>SUM(I57:O57)</f>
        <v/>
      </c>
      <c r="G57" s="72">
        <f>SUM(J57:P57)</f>
        <v/>
      </c>
      <c r="H57" s="73">
        <f>IFERROR(IF(G57&gt;0,F57/G57,"-"),"-")</f>
        <v/>
      </c>
      <c r="I57" s="74" t="n">
        <v>2</v>
      </c>
      <c r="J57" s="74">
        <f>IFERROR(IF(I57&gt;0,H57/I57,"-"),"-")</f>
        <v/>
      </c>
      <c r="K57" s="75" t="n">
        <v>1</v>
      </c>
      <c r="L57" s="74" t="n">
        <v>17</v>
      </c>
      <c r="M57" s="74">
        <f>IFERROR(IF(L57&gt;0,K57/L57,"-"),"-")</f>
        <v/>
      </c>
      <c r="N57" s="75" t="n">
        <v>3</v>
      </c>
      <c r="O57" s="74" t="n">
        <v>4</v>
      </c>
      <c r="P57" s="74">
        <f>IFERROR(IF(O57&gt;0,N57/O57,"-"),"-")</f>
        <v/>
      </c>
      <c r="Q57" s="75" t="n"/>
      <c r="R57" s="60" t="n"/>
      <c r="S57" s="60" t="n"/>
    </row>
    <row r="58">
      <c r="A58" s="77" t="n"/>
      <c r="B58" s="77" t="n"/>
      <c r="C58" s="77" t="n"/>
      <c r="D58" s="77" t="n"/>
      <c r="E58" s="77" t="n"/>
      <c r="F58" s="72">
        <f>SUM(I58:O58)</f>
        <v/>
      </c>
      <c r="G58" s="72">
        <f>SUM(J58:P58)</f>
        <v/>
      </c>
      <c r="H58" s="73">
        <f>IFERROR(IF(G58&gt;0,F58/G58,"-"),"-")</f>
        <v/>
      </c>
      <c r="I58" s="74" t="n">
        <v>1</v>
      </c>
      <c r="J58" s="74">
        <f>IFERROR(IF(I58&gt;0,H58/I58,"-"),"-")</f>
        <v/>
      </c>
      <c r="K58" s="75" t="n">
        <v>1</v>
      </c>
      <c r="L58" s="74" t="n">
        <v>7</v>
      </c>
      <c r="M58" s="74">
        <f>IFERROR(IF(L58&gt;0,K58/L58,"-"),"-")</f>
        <v/>
      </c>
      <c r="N58" s="75" t="n"/>
      <c r="O58" s="74" t="n">
        <v>6</v>
      </c>
      <c r="P58" s="74">
        <f>IFERROR(IF(O58&gt;0,N58/O58,"-"),"-")</f>
        <v/>
      </c>
      <c r="Q58" s="75" t="n"/>
      <c r="R58" s="59" t="n"/>
      <c r="S58" s="59" t="n"/>
    </row>
    <row r="59">
      <c r="A59" s="77" t="n"/>
      <c r="B59" s="77" t="n"/>
      <c r="C59" s="77" t="n"/>
      <c r="D59" s="77" t="n"/>
      <c r="E59" s="77" t="n">
        <v>1</v>
      </c>
      <c r="F59" s="72">
        <f>SUM(I59:O59)</f>
        <v/>
      </c>
      <c r="G59" s="72">
        <f>SUM(J59:P59)</f>
        <v/>
      </c>
      <c r="H59" s="73">
        <f>IFERROR(IF(G59&gt;0,F59/G59,"-"),"-")</f>
        <v/>
      </c>
      <c r="I59" s="74" t="n">
        <v>8</v>
      </c>
      <c r="J59" s="74">
        <f>IFERROR(IF(I59&gt;0,H59/I59,"-"),"-")</f>
        <v/>
      </c>
      <c r="K59" s="75" t="n">
        <v>2</v>
      </c>
      <c r="L59" s="74" t="n">
        <v>4</v>
      </c>
      <c r="M59" s="74">
        <f>IFERROR(IF(L59&gt;0,K59/L59,"-"),"-")</f>
        <v/>
      </c>
      <c r="N59" s="75" t="n">
        <v>4</v>
      </c>
      <c r="O59" s="74" t="n">
        <v>14</v>
      </c>
      <c r="P59" s="74">
        <f>IFERROR(IF(O59&gt;0,N59/O59,"-"),"-")</f>
        <v/>
      </c>
      <c r="Q59" s="75" t="n">
        <v>1</v>
      </c>
      <c r="R59" s="59" t="n"/>
      <c r="S59" s="59" t="n"/>
    </row>
    <row r="60">
      <c r="A60" s="77" t="n"/>
      <c r="B60" s="77" t="n"/>
      <c r="C60" s="77" t="n"/>
      <c r="D60" s="77" t="n"/>
      <c r="E60" s="77" t="n"/>
      <c r="F60" s="72">
        <f>SUM(I60:O60)</f>
        <v/>
      </c>
      <c r="G60" s="72">
        <f>SUM(J60:P60)</f>
        <v/>
      </c>
      <c r="H60" s="73">
        <f>IFERROR(IF(G60&gt;0,F60/G60,"-"),"-")</f>
        <v/>
      </c>
      <c r="I60" s="74" t="n"/>
      <c r="J60" s="74">
        <f>IFERROR(IF(I60&gt;0,H60/I60,"-"),"-")</f>
        <v/>
      </c>
      <c r="K60" s="75" t="n"/>
      <c r="L60" s="74" t="n"/>
      <c r="M60" s="74">
        <f>IFERROR(IF(L60&gt;0,K60/L60,"-"),"-")</f>
        <v/>
      </c>
      <c r="N60" s="75" t="n"/>
      <c r="O60" s="74" t="n"/>
      <c r="P60" s="74">
        <f>IFERROR(IF(O60&gt;0,N60/O60,"-"),"-")</f>
        <v/>
      </c>
      <c r="Q60" s="75" t="n">
        <v>1</v>
      </c>
      <c r="R60" s="59" t="n"/>
      <c r="S60" s="59" t="n"/>
    </row>
    <row r="61">
      <c r="A61" s="77" t="n"/>
      <c r="B61" s="77" t="n"/>
      <c r="C61" s="77" t="n"/>
      <c r="D61" s="77" t="n"/>
      <c r="E61" s="77" t="n"/>
      <c r="F61" s="72">
        <f>SUM(I61:O61)</f>
        <v/>
      </c>
      <c r="G61" s="72">
        <f>SUM(J61:P61)</f>
        <v/>
      </c>
      <c r="H61" s="73">
        <f>IFERROR(IF(G61&gt;0,F61/G61,"-"),"-")</f>
        <v/>
      </c>
      <c r="I61" s="74" t="n">
        <v>2</v>
      </c>
      <c r="J61" s="74">
        <f>IFERROR(IF(I61&gt;0,H61/I61,"-"),"-")</f>
        <v/>
      </c>
      <c r="K61" s="75" t="n"/>
      <c r="L61" s="74" t="n">
        <v>2</v>
      </c>
      <c r="M61" s="74">
        <f>IFERROR(IF(L61&gt;0,K61/L61,"-"),"-")</f>
        <v/>
      </c>
      <c r="N61" s="75" t="n"/>
      <c r="O61" s="74" t="n">
        <v>9</v>
      </c>
      <c r="P61" s="74">
        <f>IFERROR(IF(O61&gt;0,N61/O61,"-"),"-")</f>
        <v/>
      </c>
      <c r="Q61" s="75" t="n"/>
      <c r="R61" s="59" t="n"/>
      <c r="S61" s="59" t="n"/>
    </row>
    <row r="62">
      <c r="A62" s="77" t="n"/>
      <c r="B62" s="77" t="n"/>
      <c r="C62" s="77" t="n"/>
      <c r="D62" s="77" t="n"/>
      <c r="E62" s="77" t="n"/>
      <c r="F62" s="72">
        <f>SUM(I62:O62)</f>
        <v/>
      </c>
      <c r="G62" s="72">
        <f>SUM(J62:P62)</f>
        <v/>
      </c>
      <c r="H62" s="73">
        <f>IFERROR(IF(G62&gt;0,F62/G62,"-"),"-")</f>
        <v/>
      </c>
      <c r="I62" s="74" t="n">
        <v>11</v>
      </c>
      <c r="J62" s="74">
        <f>IFERROR(IF(I62&gt;0,H62/I62,"-"),"-")</f>
        <v/>
      </c>
      <c r="K62" s="75" t="n">
        <v>1</v>
      </c>
      <c r="L62" s="74" t="n">
        <v>30</v>
      </c>
      <c r="M62" s="74">
        <f>IFERROR(IF(L62&gt;0,K62/L62,"-"),"-")</f>
        <v/>
      </c>
      <c r="N62" s="75" t="n">
        <v>7</v>
      </c>
      <c r="O62" s="74" t="n">
        <v>76</v>
      </c>
      <c r="P62" s="74">
        <f>IFERROR(IF(O62&gt;0,N62/O62,"-"),"-")</f>
        <v/>
      </c>
      <c r="Q62" s="75" t="n">
        <v>2</v>
      </c>
      <c r="R62" s="59" t="n"/>
      <c r="S62" s="59" t="n"/>
    </row>
    <row r="63">
      <c r="A63" s="77" t="n"/>
      <c r="B63" s="77" t="n"/>
      <c r="C63" s="77" t="n"/>
      <c r="D63" s="77" t="n"/>
      <c r="E63" s="77" t="n"/>
      <c r="F63" s="72">
        <f>SUM(I63:O63)</f>
        <v/>
      </c>
      <c r="G63" s="72">
        <f>SUM(J63:P63)</f>
        <v/>
      </c>
      <c r="H63" s="73">
        <f>IFERROR(IF(G63&gt;0,F63/G63,"-"),"-")</f>
        <v/>
      </c>
      <c r="I63" s="74" t="n"/>
      <c r="J63" s="74">
        <f>IFERROR(IF(I63&gt;0,H63/I63,"-"),"-")</f>
        <v/>
      </c>
      <c r="K63" s="75" t="n">
        <v>1</v>
      </c>
      <c r="L63" s="74" t="n"/>
      <c r="M63" s="74">
        <f>IFERROR(IF(L63&gt;0,K63/L63,"-"),"-")</f>
        <v/>
      </c>
      <c r="N63" s="75" t="n"/>
      <c r="O63" s="74" t="n"/>
      <c r="P63" s="74">
        <f>IFERROR(IF(O63&gt;0,N63/O63,"-"),"-")</f>
        <v/>
      </c>
      <c r="Q63" s="75" t="n">
        <v>1</v>
      </c>
      <c r="R63" s="59" t="n"/>
      <c r="S63" s="59" t="n"/>
    </row>
    <row r="64">
      <c r="A64" s="77" t="n"/>
      <c r="B64" s="77" t="n"/>
      <c r="C64" s="77" t="n"/>
      <c r="D64" s="77" t="n"/>
      <c r="E64" s="77" t="n">
        <v>1</v>
      </c>
      <c r="F64" s="72">
        <f>SUM(I64:O64)</f>
        <v/>
      </c>
      <c r="G64" s="72">
        <f>SUM(J64:P64)</f>
        <v/>
      </c>
      <c r="H64" s="73">
        <f>IFERROR(IF(G64&gt;0,F64/G64,"-"),"-")</f>
        <v/>
      </c>
      <c r="I64" s="74" t="n"/>
      <c r="J64" s="74">
        <f>IFERROR(IF(I64&gt;0,H64/I64,"-"),"-")</f>
        <v/>
      </c>
      <c r="K64" s="75" t="n"/>
      <c r="L64" s="74" t="n"/>
      <c r="M64" s="74">
        <f>IFERROR(IF(L64&gt;0,K64/L64,"-"),"-")</f>
        <v/>
      </c>
      <c r="N64" s="75" t="n"/>
      <c r="O64" s="74" t="n"/>
      <c r="P64" s="74">
        <f>IFERROR(IF(O64&gt;0,N64/O64,"-"),"-")</f>
        <v/>
      </c>
      <c r="Q64" s="75" t="n"/>
      <c r="R64" s="59" t="n"/>
      <c r="S64" s="59" t="n"/>
    </row>
  </sheetData>
  <mergeCells count="5">
    <mergeCell ref="A1:AZ1"/>
    <mergeCell ref="O3"/>
    <mergeCell ref="I3"/>
    <mergeCell ref="L3"/>
    <mergeCell ref="A2:AZ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B5B35"/>
    <outlinePr summaryBelow="1" summaryRight="1"/>
    <pageSetUpPr/>
  </sheetPr>
  <dimension ref="A1:AZ71"/>
  <sheetViews>
    <sheetView showGridLines="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2" customWidth="1" min="4" max="4"/>
    <col width="25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7.5" customWidth="1" min="45" max="45"/>
    <col width="9" customWidth="1" min="46" max="46"/>
  </cols>
  <sheetData>
    <row r="1" ht="25" customHeight="1">
      <c r="A1" s="55" t="inlineStr">
        <is>
          <t>EMIRATES PRIDE PERFUMES | TESTER CONSUMPTION | MAR 2026 | HESSIN</t>
        </is>
      </c>
    </row>
    <row r="2" ht="14" customHeight="1">
      <c r="A2" s="56" t="inlineStr">
        <is>
          <t>T=Testers Dispatched (blue) | S=Sales Generated (green) | Contrib%=Contribution %</t>
        </is>
      </c>
    </row>
    <row r="3" ht="30" customHeight="1">
      <c r="A3" s="57" t="inlineStr">
        <is>
          <t>#</t>
        </is>
      </c>
      <c r="B3" s="57" t="inlineStr">
        <is>
          <t>Category</t>
        </is>
      </c>
      <c r="C3" s="57" t="inlineStr">
        <is>
          <t>Sub-Category</t>
        </is>
      </c>
      <c r="D3" s="57" t="inlineStr">
        <is>
          <t>SKU Code</t>
        </is>
      </c>
      <c r="E3" s="57" t="inlineStr">
        <is>
          <t>Product Name</t>
        </is>
      </c>
      <c r="F3" s="57" t="inlineStr">
        <is>
          <t>Grand Total
Testers</t>
        </is>
      </c>
      <c r="G3" s="57" t="inlineStr">
        <is>
          <t>Grand Total
Sales</t>
        </is>
      </c>
      <c r="H3" s="57" t="inlineStr">
        <is>
          <t>Grand Total
Contrib%</t>
        </is>
      </c>
      <c r="I3" s="58" t="inlineStr">
        <is>
          <t>Dalma Shop</t>
        </is>
      </c>
      <c r="J3" s="59" t="n"/>
      <c r="K3" s="60" t="n"/>
      <c r="L3" s="58" t="inlineStr">
        <is>
          <t>Dalma Kiosk</t>
        </is>
      </c>
      <c r="M3" s="59" t="n"/>
      <c r="N3" s="60" t="n"/>
      <c r="O3" s="58" t="inlineStr">
        <is>
          <t>Deerfield</t>
        </is>
      </c>
      <c r="P3" s="59" t="n"/>
      <c r="Q3" s="60" t="n"/>
      <c r="R3" s="58" t="inlineStr">
        <is>
          <t>Yas Kiosk 2</t>
        </is>
      </c>
      <c r="S3" s="59" t="n"/>
      <c r="T3" s="60" t="n"/>
      <c r="U3" s="58" t="inlineStr">
        <is>
          <t>Yas Kiosk 3</t>
        </is>
      </c>
      <c r="V3" s="59" t="n"/>
      <c r="W3" s="60" t="n"/>
      <c r="X3" s="58" t="inlineStr">
        <is>
          <t>Yas Podium</t>
        </is>
      </c>
      <c r="Y3" s="59" t="n"/>
      <c r="Z3" s="60" t="n"/>
      <c r="AA3" s="58" t="inlineStr">
        <is>
          <t>BAS Shop 2</t>
        </is>
      </c>
      <c r="AB3" s="59" t="n"/>
      <c r="AC3" s="60" t="n"/>
      <c r="AD3" s="58" t="inlineStr">
        <is>
          <t>Al Ain Mall</t>
        </is>
      </c>
      <c r="AE3" s="59" t="n"/>
      <c r="AF3" s="60" t="n"/>
      <c r="AG3" s="58" t="inlineStr">
        <is>
          <t>Bawadi K1</t>
        </is>
      </c>
      <c r="AH3" s="59" t="n"/>
      <c r="AI3" s="60" t="n"/>
      <c r="AJ3" s="58" t="inlineStr">
        <is>
          <t>Bawadi K2</t>
        </is>
      </c>
      <c r="AK3" s="59" t="n"/>
      <c r="AL3" s="60" t="n"/>
      <c r="AM3" s="58" t="inlineStr">
        <is>
          <t>Jimi Mall</t>
        </is>
      </c>
      <c r="AN3" s="59" t="n"/>
      <c r="AO3" s="60" t="n"/>
      <c r="AP3" s="58" t="inlineStr">
        <is>
          <t>Makani Shop</t>
        </is>
      </c>
      <c r="AQ3" s="59" t="n"/>
      <c r="AR3" s="60" t="n"/>
      <c r="AS3" s="59" t="n"/>
      <c r="AT3" s="59" t="n"/>
    </row>
    <row r="4" ht="44" customHeight="1">
      <c r="A4" s="61" t="n"/>
      <c r="B4" s="61" t="n"/>
      <c r="C4" s="61" t="n"/>
      <c r="D4" s="61" t="n"/>
      <c r="E4" s="61" t="n"/>
      <c r="F4" s="61" t="inlineStr">
        <is>
          <t>T</t>
        </is>
      </c>
      <c r="G4" s="61" t="inlineStr">
        <is>
          <t>S</t>
        </is>
      </c>
      <c r="H4" s="61" t="inlineStr">
        <is>
          <t>Contrib%</t>
        </is>
      </c>
      <c r="I4" s="62" t="inlineStr">
        <is>
          <t>T</t>
        </is>
      </c>
      <c r="J4" s="62" t="inlineStr">
        <is>
          <t>S</t>
        </is>
      </c>
      <c r="K4" s="62" t="inlineStr">
        <is>
          <t>Contrib%</t>
        </is>
      </c>
      <c r="L4" s="62" t="inlineStr">
        <is>
          <t>T</t>
        </is>
      </c>
      <c r="M4" s="62" t="inlineStr">
        <is>
          <t>S</t>
        </is>
      </c>
      <c r="N4" s="62" t="inlineStr">
        <is>
          <t>Contrib%</t>
        </is>
      </c>
      <c r="O4" s="62" t="inlineStr">
        <is>
          <t>T</t>
        </is>
      </c>
      <c r="P4" s="62" t="inlineStr">
        <is>
          <t>S</t>
        </is>
      </c>
      <c r="Q4" s="62" t="inlineStr">
        <is>
          <t>Contrib%</t>
        </is>
      </c>
      <c r="R4" s="62" t="inlineStr">
        <is>
          <t>T</t>
        </is>
      </c>
      <c r="S4" s="62" t="inlineStr">
        <is>
          <t>S</t>
        </is>
      </c>
      <c r="T4" s="62" t="inlineStr">
        <is>
          <t>Contrib%</t>
        </is>
      </c>
      <c r="U4" s="62" t="inlineStr">
        <is>
          <t>T</t>
        </is>
      </c>
      <c r="V4" s="62" t="inlineStr">
        <is>
          <t>S</t>
        </is>
      </c>
      <c r="W4" s="62" t="inlineStr">
        <is>
          <t>Contrib%</t>
        </is>
      </c>
      <c r="X4" s="62" t="inlineStr">
        <is>
          <t>T</t>
        </is>
      </c>
      <c r="Y4" s="62" t="inlineStr">
        <is>
          <t>S</t>
        </is>
      </c>
      <c r="Z4" s="62" t="inlineStr">
        <is>
          <t>Contrib%</t>
        </is>
      </c>
      <c r="AA4" s="62" t="inlineStr">
        <is>
          <t>T</t>
        </is>
      </c>
      <c r="AB4" s="62" t="inlineStr">
        <is>
          <t>S</t>
        </is>
      </c>
      <c r="AC4" s="62" t="inlineStr">
        <is>
          <t>Contrib%</t>
        </is>
      </c>
      <c r="AD4" s="62" t="inlineStr">
        <is>
          <t>T</t>
        </is>
      </c>
      <c r="AE4" s="62" t="inlineStr">
        <is>
          <t>S</t>
        </is>
      </c>
      <c r="AF4" s="62" t="inlineStr">
        <is>
          <t>Contrib%</t>
        </is>
      </c>
      <c r="AG4" s="62" t="inlineStr">
        <is>
          <t>T</t>
        </is>
      </c>
      <c r="AH4" s="62" t="inlineStr">
        <is>
          <t>S</t>
        </is>
      </c>
      <c r="AI4" s="62" t="inlineStr">
        <is>
          <t>Contrib%</t>
        </is>
      </c>
      <c r="AJ4" s="62" t="inlineStr">
        <is>
          <t>T</t>
        </is>
      </c>
      <c r="AK4" s="62" t="inlineStr">
        <is>
          <t>S</t>
        </is>
      </c>
      <c r="AL4" s="62" t="inlineStr">
        <is>
          <t>Contrib%</t>
        </is>
      </c>
      <c r="AM4" s="62" t="inlineStr">
        <is>
          <t>T</t>
        </is>
      </c>
      <c r="AN4" s="62" t="inlineStr">
        <is>
          <t>S</t>
        </is>
      </c>
      <c r="AO4" s="62" t="inlineStr">
        <is>
          <t>Contrib%</t>
        </is>
      </c>
      <c r="AP4" s="62" t="inlineStr">
        <is>
          <t>T</t>
        </is>
      </c>
      <c r="AQ4" s="62" t="inlineStr">
        <is>
          <t>S</t>
        </is>
      </c>
      <c r="AR4" s="62" t="inlineStr">
        <is>
          <t>Contrib%</t>
        </is>
      </c>
      <c r="AS4" s="60" t="n"/>
      <c r="AT4" s="60" t="n"/>
    </row>
    <row r="5" ht="20" customHeight="1">
      <c r="A5" s="63" t="inlineStr">
        <is>
          <t>GRAND TOTAL</t>
        </is>
      </c>
      <c r="B5" s="59" t="n"/>
      <c r="C5" s="59" t="n"/>
      <c r="D5" s="59" t="n"/>
      <c r="E5" s="60" t="n"/>
      <c r="F5" s="64">
        <f>SUM(F12:F64)</f>
        <v/>
      </c>
      <c r="G5" s="64">
        <f>SUM(G12:G64)</f>
        <v/>
      </c>
      <c r="H5" s="65">
        <f>IFERROR(IF(G5&gt;0,F5/G5,"-"),"-")</f>
        <v/>
      </c>
      <c r="I5" s="66">
        <f>SUM(I12:I64)</f>
        <v/>
      </c>
      <c r="J5" s="66">
        <f>SUM(J12:J64)</f>
        <v/>
      </c>
      <c r="K5" s="67">
        <f>IFERROR(IF(J5&gt;0,I5/J5,"-"),"-")</f>
        <v/>
      </c>
      <c r="L5" s="66">
        <f>SUM(L12:L64)</f>
        <v/>
      </c>
      <c r="M5" s="66">
        <f>SUM(M12:M64)</f>
        <v/>
      </c>
      <c r="N5" s="67">
        <f>IFERROR(IF(M5&gt;0,L5/M5,"-"),"-")</f>
        <v/>
      </c>
      <c r="O5" s="66">
        <f>SUM(O12:O64)</f>
        <v/>
      </c>
      <c r="P5" s="66">
        <f>SUM(P12:P64)</f>
        <v/>
      </c>
      <c r="Q5" s="67">
        <f>IFERROR(IF(P5&gt;0,O5/P5,"-"),"-")</f>
        <v/>
      </c>
      <c r="R5" s="66">
        <f>SUM(R12:R64)</f>
        <v/>
      </c>
      <c r="S5" s="66">
        <f>SUM(S12:S64)</f>
        <v/>
      </c>
      <c r="T5" s="67">
        <f>IFERROR(IF(S5&gt;0,R5/S5,"-"),"-")</f>
        <v/>
      </c>
      <c r="U5" s="66">
        <f>SUM(U12:U64)</f>
        <v/>
      </c>
      <c r="V5" s="66">
        <f>SUM(V12:V64)</f>
        <v/>
      </c>
      <c r="W5" s="67">
        <f>IFERROR(IF(V5&gt;0,U5/V5,"-"),"-")</f>
        <v/>
      </c>
      <c r="X5" s="66">
        <f>SUM(X12:X64)</f>
        <v/>
      </c>
      <c r="Y5" s="66">
        <f>SUM(Y12:Y64)</f>
        <v/>
      </c>
      <c r="Z5" s="67">
        <f>IFERROR(IF(Y5&gt;0,X5/Y5,"-"),"-")</f>
        <v/>
      </c>
      <c r="AA5" s="66">
        <f>SUM(AA12:AA64)</f>
        <v/>
      </c>
      <c r="AB5" s="66">
        <f>SUM(AB12:AB64)</f>
        <v/>
      </c>
      <c r="AC5" s="67">
        <f>IFERROR(IF(AB5&gt;0,AA5/AB5,"-"),"-")</f>
        <v/>
      </c>
      <c r="AD5" s="66">
        <f>SUM(AD12:AD64)</f>
        <v/>
      </c>
      <c r="AE5" s="66">
        <f>SUM(AE12:AE64)</f>
        <v/>
      </c>
      <c r="AF5" s="67">
        <f>IFERROR(IF(AE5&gt;0,AD5/AE5,"-"),"-")</f>
        <v/>
      </c>
      <c r="AG5" s="66">
        <f>SUM(AG12:AG64)</f>
        <v/>
      </c>
      <c r="AH5" s="66">
        <f>SUM(AH12:AH64)</f>
        <v/>
      </c>
      <c r="AI5" s="67">
        <f>IFERROR(IF(AH5&gt;0,AG5/AH5,"-"),"-")</f>
        <v/>
      </c>
      <c r="AJ5" s="66">
        <f>SUM(AJ12:AJ64)</f>
        <v/>
      </c>
      <c r="AK5" s="66">
        <f>SUM(AK12:AK64)</f>
        <v/>
      </c>
      <c r="AL5" s="67">
        <f>IFERROR(IF(AK5&gt;0,AJ5/AK5,"-"),"-")</f>
        <v/>
      </c>
      <c r="AM5" s="66">
        <f>SUM(AM12:AM64)</f>
        <v/>
      </c>
      <c r="AN5" s="66">
        <f>SUM(AN12:AN64)</f>
        <v/>
      </c>
      <c r="AO5" s="67">
        <f>IFERROR(IF(AN5&gt;0,AM5/AN5,"-"),"-")</f>
        <v/>
      </c>
      <c r="AP5" s="66">
        <f>SUM(AP12:AP64)</f>
        <v/>
      </c>
      <c r="AQ5" s="66">
        <f>SUM(AQ12:AQ64)</f>
        <v/>
      </c>
      <c r="AR5" s="67">
        <f>IFERROR(IF(AQ5&gt;0,AP5/AQ5,"-"),"-")</f>
        <v/>
      </c>
      <c r="AS5" s="60" t="n"/>
      <c r="AT5" s="60" t="n"/>
    </row>
    <row r="6" ht="15" customHeight="1">
      <c r="A6" s="68" t="n"/>
      <c r="B6" s="59" t="n"/>
      <c r="C6" s="59" t="n"/>
      <c r="D6" s="59" t="n"/>
      <c r="E6" s="59" t="n"/>
      <c r="F6" s="59" t="n"/>
      <c r="G6" s="59" t="n"/>
      <c r="H6" s="59" t="n"/>
      <c r="I6" s="59" t="n"/>
      <c r="J6" s="59" t="n"/>
      <c r="K6" s="59" t="n"/>
      <c r="L6" s="59" t="n"/>
      <c r="M6" s="59" t="n"/>
      <c r="N6" s="59" t="n"/>
      <c r="O6" s="59" t="n"/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  <c r="Z6" s="59" t="n"/>
      <c r="AA6" s="59" t="n"/>
      <c r="AB6" s="59" t="n"/>
      <c r="AC6" s="59" t="n"/>
      <c r="AD6" s="59" t="n"/>
      <c r="AE6" s="59" t="n"/>
      <c r="AF6" s="59" t="n"/>
      <c r="AG6" s="59" t="n"/>
      <c r="AH6" s="59" t="n"/>
      <c r="AI6" s="59" t="n"/>
      <c r="AJ6" s="59" t="n"/>
      <c r="AK6" s="59" t="n"/>
      <c r="AL6" s="59" t="n"/>
      <c r="AM6" s="59" t="n"/>
      <c r="AN6" s="59" t="n"/>
      <c r="AO6" s="59" t="n"/>
      <c r="AP6" s="59" t="n"/>
      <c r="AQ6" s="59" t="n"/>
      <c r="AR6" s="59" t="n"/>
      <c r="AS6" s="59" t="n"/>
      <c r="AT6" s="59" t="n"/>
    </row>
    <row r="7" ht="15" customHeight="1">
      <c r="A7" s="60" t="n"/>
      <c r="B7" s="69" t="n"/>
      <c r="C7" s="60" t="n"/>
      <c r="D7" s="69" t="n"/>
      <c r="E7" s="60" t="n"/>
      <c r="F7" s="60" t="n"/>
      <c r="G7" s="60" t="n"/>
      <c r="H7" s="60" t="n"/>
      <c r="I7" s="60" t="n"/>
      <c r="J7" s="60" t="n"/>
      <c r="K7" s="60" t="n"/>
      <c r="L7" s="60" t="n"/>
      <c r="M7" s="60" t="n"/>
      <c r="N7" s="60" t="n"/>
      <c r="O7" s="60" t="n"/>
      <c r="P7" s="60" t="n"/>
      <c r="Q7" s="60" t="n"/>
      <c r="R7" s="60" t="n"/>
      <c r="S7" s="60" t="n"/>
      <c r="T7" s="60" t="n"/>
      <c r="U7" s="60" t="n"/>
      <c r="V7" s="60" t="n"/>
      <c r="W7" s="60" t="n"/>
      <c r="X7" s="60" t="n"/>
      <c r="Y7" s="60" t="n"/>
      <c r="Z7" s="60" t="n"/>
      <c r="AA7" s="60" t="n"/>
      <c r="AB7" s="60" t="n"/>
      <c r="AC7" s="60" t="n"/>
      <c r="AD7" s="60" t="n"/>
      <c r="AE7" s="60" t="n"/>
      <c r="AF7" s="60" t="n"/>
      <c r="AG7" s="60" t="n"/>
      <c r="AH7" s="60" t="n"/>
      <c r="AI7" s="60" t="n"/>
      <c r="AJ7" s="60" t="n"/>
      <c r="AK7" s="60" t="n"/>
      <c r="AL7" s="60" t="n"/>
      <c r="AM7" s="60" t="n"/>
      <c r="AN7" s="60" t="n"/>
      <c r="AO7" s="60" t="n"/>
      <c r="AP7" s="60" t="n"/>
      <c r="AQ7" s="60" t="n"/>
      <c r="AR7" s="60" t="n"/>
      <c r="AS7" s="60" t="n"/>
      <c r="AT7" s="60" t="n"/>
    </row>
    <row r="8" ht="15" customHeight="1">
      <c r="A8" s="60" t="n"/>
      <c r="B8" s="69" t="n"/>
      <c r="C8" s="60" t="n"/>
      <c r="D8" s="69" t="n"/>
      <c r="E8" s="60" t="n"/>
      <c r="F8" s="60" t="n"/>
      <c r="G8" s="60" t="n"/>
      <c r="H8" s="60" t="n"/>
      <c r="I8" s="60" t="n"/>
      <c r="J8" s="60" t="n"/>
      <c r="K8" s="60" t="n"/>
      <c r="L8" s="60" t="n"/>
      <c r="M8" s="60" t="n"/>
      <c r="N8" s="60" t="n"/>
      <c r="O8" s="60" t="n"/>
      <c r="P8" s="60" t="n"/>
      <c r="Q8" s="60" t="n"/>
      <c r="R8" s="60" t="n"/>
      <c r="S8" s="60" t="n"/>
      <c r="T8" s="60" t="n"/>
      <c r="U8" s="60" t="n"/>
      <c r="V8" s="60" t="n"/>
      <c r="W8" s="60" t="n"/>
      <c r="X8" s="60" t="n"/>
      <c r="Y8" s="60" t="n"/>
      <c r="Z8" s="60" t="n"/>
      <c r="AA8" s="60" t="n"/>
      <c r="AB8" s="60" t="n"/>
      <c r="AC8" s="60" t="n"/>
      <c r="AD8" s="60" t="n"/>
      <c r="AE8" s="60" t="n"/>
      <c r="AF8" s="60" t="n"/>
      <c r="AG8" s="60" t="n"/>
      <c r="AH8" s="60" t="n"/>
      <c r="AI8" s="60" t="n"/>
      <c r="AJ8" s="60" t="n"/>
      <c r="AK8" s="60" t="n"/>
      <c r="AL8" s="60" t="n"/>
      <c r="AM8" s="60" t="n"/>
      <c r="AN8" s="60" t="n"/>
      <c r="AO8" s="60" t="n"/>
      <c r="AP8" s="60" t="n"/>
      <c r="AQ8" s="60" t="n"/>
      <c r="AR8" s="60" t="n"/>
      <c r="AS8" s="60" t="n"/>
      <c r="AT8" s="60" t="n"/>
    </row>
    <row r="9" ht="15" customHeight="1">
      <c r="A9" s="60" t="n"/>
      <c r="B9" s="69" t="n"/>
      <c r="C9" s="60" t="n"/>
      <c r="D9" s="69" t="n"/>
      <c r="E9" s="60" t="n"/>
      <c r="F9" s="60" t="n"/>
      <c r="G9" s="60" t="n"/>
      <c r="H9" s="60" t="n"/>
      <c r="I9" s="60" t="n"/>
      <c r="J9" s="60" t="n"/>
      <c r="K9" s="60" t="n"/>
      <c r="L9" s="60" t="n"/>
      <c r="M9" s="60" t="n"/>
      <c r="N9" s="60" t="n"/>
      <c r="O9" s="60" t="n"/>
      <c r="P9" s="60" t="n"/>
      <c r="Q9" s="60" t="n"/>
      <c r="R9" s="60" t="n"/>
      <c r="S9" s="60" t="n"/>
      <c r="T9" s="60" t="n"/>
      <c r="U9" s="60" t="n"/>
      <c r="V9" s="60" t="n"/>
      <c r="W9" s="60" t="n"/>
      <c r="X9" s="60" t="n"/>
      <c r="Y9" s="60" t="n"/>
      <c r="Z9" s="60" t="n"/>
      <c r="AA9" s="60" t="n"/>
      <c r="AB9" s="60" t="n"/>
      <c r="AC9" s="60" t="n"/>
      <c r="AD9" s="60" t="n"/>
      <c r="AE9" s="60" t="n"/>
      <c r="AF9" s="60" t="n"/>
      <c r="AG9" s="60" t="n"/>
      <c r="AH9" s="60" t="n"/>
      <c r="AI9" s="60" t="n"/>
      <c r="AJ9" s="60" t="n"/>
      <c r="AK9" s="60" t="n"/>
      <c r="AL9" s="60" t="n"/>
      <c r="AM9" s="60" t="n"/>
      <c r="AN9" s="60" t="n"/>
      <c r="AO9" s="60" t="n"/>
      <c r="AP9" s="60" t="n"/>
      <c r="AQ9" s="60" t="n"/>
      <c r="AR9" s="60" t="n"/>
      <c r="AS9" s="60" t="n"/>
      <c r="AT9" s="60" t="n"/>
    </row>
    <row r="10" ht="15" customHeight="1">
      <c r="A10" s="60" t="n"/>
      <c r="B10" s="69" t="n"/>
      <c r="C10" s="60" t="n"/>
      <c r="D10" s="69" t="n"/>
      <c r="E10" s="60" t="n"/>
      <c r="F10" s="60" t="n"/>
      <c r="G10" s="60" t="n"/>
      <c r="H10" s="60" t="n"/>
      <c r="I10" s="60" t="n"/>
      <c r="J10" s="60" t="n"/>
      <c r="K10" s="60" t="n"/>
      <c r="L10" s="60" t="n"/>
      <c r="M10" s="60" t="n"/>
      <c r="N10" s="60" t="n"/>
      <c r="O10" s="60" t="n"/>
      <c r="P10" s="60" t="n"/>
      <c r="Q10" s="60" t="n"/>
      <c r="R10" s="60" t="n"/>
      <c r="S10" s="60" t="n"/>
      <c r="T10" s="60" t="n"/>
      <c r="U10" s="60" t="n"/>
      <c r="V10" s="60" t="n"/>
      <c r="W10" s="60" t="n"/>
      <c r="X10" s="60" t="n"/>
      <c r="Y10" s="60" t="n"/>
      <c r="Z10" s="60" t="n"/>
      <c r="AA10" s="60" t="n"/>
      <c r="AB10" s="60" t="n"/>
      <c r="AC10" s="60" t="n"/>
      <c r="AD10" s="60" t="n"/>
      <c r="AE10" s="60" t="n"/>
      <c r="AF10" s="60" t="n"/>
      <c r="AG10" s="60" t="n"/>
      <c r="AH10" s="60" t="n"/>
      <c r="AI10" s="60" t="n"/>
      <c r="AJ10" s="60" t="n"/>
      <c r="AK10" s="60" t="n"/>
      <c r="AL10" s="60" t="n"/>
      <c r="AM10" s="60" t="n"/>
      <c r="AN10" s="60" t="n"/>
      <c r="AO10" s="60" t="n"/>
      <c r="AP10" s="60" t="n"/>
      <c r="AQ10" s="60" t="n"/>
      <c r="AR10" s="60" t="n"/>
      <c r="AS10" s="60" t="n"/>
      <c r="AT10" s="60" t="n"/>
    </row>
    <row r="11" ht="15" customHeight="1">
      <c r="A11" s="60" t="n"/>
      <c r="B11" s="69" t="n"/>
      <c r="C11" s="60" t="n"/>
      <c r="D11" s="69" t="n"/>
      <c r="E11" s="60" t="n"/>
      <c r="F11" s="60" t="n"/>
      <c r="G11" s="60" t="n"/>
      <c r="H11" s="60" t="n"/>
      <c r="I11" s="60" t="n"/>
      <c r="J11" s="60" t="n"/>
      <c r="K11" s="60" t="n"/>
      <c r="L11" s="60" t="n"/>
      <c r="M11" s="60" t="n"/>
      <c r="N11" s="60" t="n"/>
      <c r="O11" s="60" t="n"/>
      <c r="P11" s="60" t="n"/>
      <c r="Q11" s="60" t="n"/>
      <c r="R11" s="60" t="n"/>
      <c r="S11" s="60" t="n"/>
      <c r="T11" s="60" t="n"/>
      <c r="U11" s="60" t="n"/>
      <c r="V11" s="60" t="n"/>
      <c r="W11" s="60" t="n"/>
      <c r="X11" s="60" t="n"/>
      <c r="Y11" s="60" t="n"/>
      <c r="Z11" s="60" t="n"/>
      <c r="AA11" s="60" t="n"/>
      <c r="AB11" s="60" t="n"/>
      <c r="AC11" s="60" t="n"/>
      <c r="AD11" s="60" t="n"/>
      <c r="AE11" s="60" t="n"/>
      <c r="AF11" s="60" t="n"/>
      <c r="AG11" s="60" t="n"/>
      <c r="AH11" s="60" t="n"/>
      <c r="AI11" s="60" t="n"/>
      <c r="AJ11" s="60" t="n"/>
      <c r="AK11" s="60" t="n"/>
      <c r="AL11" s="60" t="n"/>
      <c r="AM11" s="60" t="n"/>
      <c r="AN11" s="60" t="n"/>
      <c r="AO11" s="60" t="n"/>
      <c r="AP11" s="60" t="n"/>
      <c r="AQ11" s="60" t="n"/>
      <c r="AR11" s="60" t="n"/>
      <c r="AS11" s="60" t="n"/>
      <c r="AT11" s="60" t="n"/>
    </row>
    <row r="12" ht="15" customHeight="1">
      <c r="A12" s="76" t="inlineStr">
        <is>
          <t xml:space="preserve">  BEL COLLECTIONS</t>
        </is>
      </c>
      <c r="B12" s="77" t="n"/>
      <c r="C12" s="77" t="n"/>
      <c r="D12" s="77" t="n"/>
      <c r="E12" s="77" t="n">
        <v>2</v>
      </c>
      <c r="F12" s="72">
        <f>SUM(I12:AP12)</f>
        <v/>
      </c>
      <c r="G12" s="72">
        <f>SUM(J12:AQ12)</f>
        <v/>
      </c>
      <c r="H12" s="73">
        <f>IFERROR(IF(G12&gt;0,F12/G12,"-"),"-")</f>
        <v/>
      </c>
      <c r="I12" s="74" t="n">
        <v>8</v>
      </c>
      <c r="J12" s="74">
        <f>IFERROR(IF(I12&gt;0,H12/I12,"-"),"-")</f>
        <v/>
      </c>
      <c r="K12" s="75" t="n"/>
      <c r="L12" s="74" t="n">
        <v>21</v>
      </c>
      <c r="M12" s="74">
        <f>IFERROR(IF(L12&gt;0,K12/L12,"-"),"-")</f>
        <v/>
      </c>
      <c r="N12" s="75" t="n"/>
      <c r="O12" s="74" t="n">
        <v>2</v>
      </c>
      <c r="P12" s="74">
        <f>IFERROR(IF(O12&gt;0,N12/O12,"-"),"-")</f>
        <v/>
      </c>
      <c r="Q12" s="75" t="n"/>
      <c r="R12" s="74" t="n">
        <v>10</v>
      </c>
      <c r="S12" s="74">
        <f>IFERROR(IF(R12&gt;0,Q12/R12,"-"),"-")</f>
        <v/>
      </c>
      <c r="T12" s="75" t="n"/>
      <c r="U12" s="74" t="n">
        <v>3</v>
      </c>
      <c r="V12" s="74">
        <f>IFERROR(IF(U12&gt;0,T12/U12,"-"),"-")</f>
        <v/>
      </c>
      <c r="W12" s="75" t="n">
        <v>4</v>
      </c>
      <c r="X12" s="74" t="n">
        <v>6</v>
      </c>
      <c r="Y12" s="74">
        <f>IFERROR(IF(X12&gt;0,W12/X12,"-"),"-")</f>
        <v/>
      </c>
      <c r="Z12" s="75" t="n">
        <v>1</v>
      </c>
      <c r="AA12" s="74" t="n">
        <v>9</v>
      </c>
      <c r="AB12" s="74">
        <f>IFERROR(IF(AA12&gt;0,Z12/AA12,"-"),"-")</f>
        <v/>
      </c>
      <c r="AC12" s="75" t="n">
        <v>2</v>
      </c>
      <c r="AD12" s="74" t="n">
        <v>14</v>
      </c>
      <c r="AE12" s="74">
        <f>IFERROR(IF(AD12&gt;0,AC12/AD12,"-"),"-")</f>
        <v/>
      </c>
      <c r="AF12" s="75" t="n"/>
      <c r="AG12" s="74" t="n"/>
      <c r="AH12" s="74">
        <f>IFERROR(IF(AG12&gt;0,AF12/AG12,"-"),"-")</f>
        <v/>
      </c>
      <c r="AI12" s="75" t="n">
        <v>1</v>
      </c>
      <c r="AJ12" s="74" t="n">
        <v>4</v>
      </c>
      <c r="AK12" s="74">
        <f>IFERROR(IF(AJ12&gt;0,AI12/AJ12,"-"),"-")</f>
        <v/>
      </c>
      <c r="AL12" s="75" t="n"/>
      <c r="AM12" s="74" t="n">
        <v>4</v>
      </c>
      <c r="AN12" s="74">
        <f>IFERROR(IF(AM12&gt;0,AL12/AM12,"-"),"-")</f>
        <v/>
      </c>
      <c r="AO12" s="75" t="n">
        <v>2</v>
      </c>
      <c r="AP12" s="74" t="n">
        <v>6</v>
      </c>
      <c r="AQ12" s="74">
        <f>IFERROR(IF(AP12&gt;0,AO12/AP12,"-"),"-")</f>
        <v/>
      </c>
      <c r="AR12" s="75" t="n"/>
      <c r="AS12" s="59" t="n"/>
      <c r="AT12" s="59" t="n"/>
    </row>
    <row r="13" ht="15" customHeight="1">
      <c r="A13" s="70" t="n">
        <v>6</v>
      </c>
      <c r="B13" s="71" t="inlineStr">
        <is>
          <t>Bel Collections</t>
        </is>
      </c>
      <c r="C13" s="70" t="inlineStr">
        <is>
          <t>B00001</t>
        </is>
      </c>
      <c r="D13" s="71" t="inlineStr">
        <is>
          <t>Bergamot bel Amber</t>
        </is>
      </c>
      <c r="E13" s="70" t="n">
        <v>2</v>
      </c>
      <c r="F13" s="72">
        <f>SUM(I13:AP13)</f>
        <v/>
      </c>
      <c r="G13" s="72">
        <f>SUM(J13:AQ13)</f>
        <v/>
      </c>
      <c r="H13" s="73">
        <f>IFERROR(IF(G13&gt;0,F13/G13,"-"),"-")</f>
        <v/>
      </c>
      <c r="I13" s="74" t="n">
        <v>4</v>
      </c>
      <c r="J13" s="74">
        <f>IFERROR(IF(I13&gt;0,H13/I13,"-"),"-")</f>
        <v/>
      </c>
      <c r="K13" s="75" t="n">
        <v>2</v>
      </c>
      <c r="L13" s="74" t="n">
        <v>14</v>
      </c>
      <c r="M13" s="74">
        <f>IFERROR(IF(L13&gt;0,K13/L13,"-"),"-")</f>
        <v/>
      </c>
      <c r="N13" s="75" t="n">
        <v>2</v>
      </c>
      <c r="O13" s="74" t="n">
        <v>5</v>
      </c>
      <c r="P13" s="74">
        <f>IFERROR(IF(O13&gt;0,N13/O13,"-"),"-")</f>
        <v/>
      </c>
      <c r="Q13" s="75" t="n">
        <v>2</v>
      </c>
      <c r="R13" s="74" t="n">
        <v>12</v>
      </c>
      <c r="S13" s="74">
        <f>IFERROR(IF(R13&gt;0,Q13/R13,"-"),"-")</f>
        <v/>
      </c>
      <c r="T13" s="75" t="n"/>
      <c r="U13" s="74" t="n">
        <v>10</v>
      </c>
      <c r="V13" s="74">
        <f>IFERROR(IF(U13&gt;0,T13/U13,"-"),"-")</f>
        <v/>
      </c>
      <c r="W13" s="75" t="n">
        <v>5</v>
      </c>
      <c r="X13" s="74" t="n">
        <v>5</v>
      </c>
      <c r="Y13" s="74">
        <f>IFERROR(IF(X13&gt;0,W13/X13,"-"),"-")</f>
        <v/>
      </c>
      <c r="Z13" s="75" t="n">
        <v>1</v>
      </c>
      <c r="AA13" s="74" t="n">
        <v>13</v>
      </c>
      <c r="AB13" s="74">
        <f>IFERROR(IF(AA13&gt;0,Z13/AA13,"-"),"-")</f>
        <v/>
      </c>
      <c r="AC13" s="75" t="n">
        <v>3</v>
      </c>
      <c r="AD13" s="74" t="n">
        <v>10</v>
      </c>
      <c r="AE13" s="74">
        <f>IFERROR(IF(AD13&gt;0,AC13/AD13,"-"),"-")</f>
        <v/>
      </c>
      <c r="AF13" s="75" t="n"/>
      <c r="AG13" s="74" t="n"/>
      <c r="AH13" s="74">
        <f>IFERROR(IF(AG13&gt;0,AF13/AG13,"-"),"-")</f>
        <v/>
      </c>
      <c r="AI13" s="75" t="n"/>
      <c r="AJ13" s="74" t="n">
        <v>2</v>
      </c>
      <c r="AK13" s="74">
        <f>IFERROR(IF(AJ13&gt;0,AI13/AJ13,"-"),"-")</f>
        <v/>
      </c>
      <c r="AL13" s="75" t="n">
        <v>1</v>
      </c>
      <c r="AM13" s="74" t="n">
        <v>4</v>
      </c>
      <c r="AN13" s="74">
        <f>IFERROR(IF(AM13&gt;0,AL13/AM13,"-"),"-")</f>
        <v/>
      </c>
      <c r="AO13" s="75" t="n">
        <v>1</v>
      </c>
      <c r="AP13" s="74" t="n">
        <v>6</v>
      </c>
      <c r="AQ13" s="74">
        <f>IFERROR(IF(AP13&gt;0,AO13/AP13,"-"),"-")</f>
        <v/>
      </c>
      <c r="AR13" s="75" t="n">
        <v>2</v>
      </c>
      <c r="AS13" s="60" t="n"/>
      <c r="AT13" s="60" t="n"/>
    </row>
    <row r="14" ht="15" customHeight="1">
      <c r="A14" s="70" t="n">
        <v>7</v>
      </c>
      <c r="B14" s="71" t="inlineStr">
        <is>
          <t>Bel Collections</t>
        </is>
      </c>
      <c r="C14" s="70" t="inlineStr">
        <is>
          <t>B00002</t>
        </is>
      </c>
      <c r="D14" s="71" t="inlineStr">
        <is>
          <t>Jasmin bel Musk</t>
        </is>
      </c>
      <c r="E14" s="70" t="n"/>
      <c r="F14" s="72">
        <f>SUM(I14:AP14)</f>
        <v/>
      </c>
      <c r="G14" s="72">
        <f>SUM(J14:AQ14)</f>
        <v/>
      </c>
      <c r="H14" s="73">
        <f>IFERROR(IF(G14&gt;0,F14/G14,"-"),"-")</f>
        <v/>
      </c>
      <c r="I14" s="74" t="n">
        <v>1</v>
      </c>
      <c r="J14" s="74">
        <f>IFERROR(IF(I14&gt;0,H14/I14,"-"),"-")</f>
        <v/>
      </c>
      <c r="K14" s="75" t="n">
        <v>2</v>
      </c>
      <c r="L14" s="74" t="n">
        <v>2</v>
      </c>
      <c r="M14" s="74">
        <f>IFERROR(IF(L14&gt;0,K14/L14,"-"),"-")</f>
        <v/>
      </c>
      <c r="N14" s="75" t="n"/>
      <c r="O14" s="74" t="n">
        <v>2</v>
      </c>
      <c r="P14" s="74">
        <f>IFERROR(IF(O14&gt;0,N14/O14,"-"),"-")</f>
        <v/>
      </c>
      <c r="Q14" s="75" t="n"/>
      <c r="R14" s="74" t="n">
        <v>2</v>
      </c>
      <c r="S14" s="74">
        <f>IFERROR(IF(R14&gt;0,Q14/R14,"-"),"-")</f>
        <v/>
      </c>
      <c r="T14" s="75" t="n"/>
      <c r="U14" s="74" t="n">
        <v>2</v>
      </c>
      <c r="V14" s="74">
        <f>IFERROR(IF(U14&gt;0,T14/U14,"-"),"-")</f>
        <v/>
      </c>
      <c r="W14" s="75" t="n">
        <v>1</v>
      </c>
      <c r="X14" s="74" t="n">
        <v>1</v>
      </c>
      <c r="Y14" s="74">
        <f>IFERROR(IF(X14&gt;0,W14/X14,"-"),"-")</f>
        <v/>
      </c>
      <c r="Z14" s="75" t="n"/>
      <c r="AA14" s="74" t="n">
        <v>2</v>
      </c>
      <c r="AB14" s="74">
        <f>IFERROR(IF(AA14&gt;0,Z14/AA14,"-"),"-")</f>
        <v/>
      </c>
      <c r="AC14" s="75" t="n">
        <v>3</v>
      </c>
      <c r="AD14" s="74" t="n">
        <v>2</v>
      </c>
      <c r="AE14" s="74">
        <f>IFERROR(IF(AD14&gt;0,AC14/AD14,"-"),"-")</f>
        <v/>
      </c>
      <c r="AF14" s="75" t="n"/>
      <c r="AG14" s="74" t="n"/>
      <c r="AH14" s="74">
        <f>IFERROR(IF(AG14&gt;0,AF14/AG14,"-"),"-")</f>
        <v/>
      </c>
      <c r="AI14" s="75" t="n">
        <v>1</v>
      </c>
      <c r="AJ14" s="74" t="n">
        <v>1</v>
      </c>
      <c r="AK14" s="74">
        <f>IFERROR(IF(AJ14&gt;0,AI14/AJ14,"-"),"-")</f>
        <v/>
      </c>
      <c r="AL14" s="75" t="n">
        <v>1</v>
      </c>
      <c r="AM14" s="74" t="n"/>
      <c r="AN14" s="74">
        <f>IFERROR(IF(AM14&gt;0,AL14/AM14,"-"),"-")</f>
        <v/>
      </c>
      <c r="AO14" s="75" t="n">
        <v>1</v>
      </c>
      <c r="AP14" s="74" t="n">
        <v>1</v>
      </c>
      <c r="AQ14" s="74">
        <f>IFERROR(IF(AP14&gt;0,AO14/AP14,"-"),"-")</f>
        <v/>
      </c>
      <c r="AR14" s="75" t="n">
        <v>2</v>
      </c>
      <c r="AS14" s="60" t="n"/>
      <c r="AT14" s="60" t="n"/>
    </row>
    <row r="15" ht="15" customHeight="1">
      <c r="A15" s="70" t="n">
        <v>8</v>
      </c>
      <c r="B15" s="71" t="inlineStr">
        <is>
          <t>Bel Collections</t>
        </is>
      </c>
      <c r="C15" s="70" t="inlineStr">
        <is>
          <t>B00003</t>
        </is>
      </c>
      <c r="D15" s="71" t="inlineStr">
        <is>
          <t>Amber Bel oud</t>
        </is>
      </c>
      <c r="E15" s="70" t="n">
        <v>3</v>
      </c>
      <c r="F15" s="72">
        <f>SUM(I15:AP15)</f>
        <v/>
      </c>
      <c r="G15" s="72">
        <f>SUM(J15:AQ15)</f>
        <v/>
      </c>
      <c r="H15" s="73">
        <f>IFERROR(IF(G15&gt;0,F15/G15,"-"),"-")</f>
        <v/>
      </c>
      <c r="I15" s="74" t="n">
        <v>7</v>
      </c>
      <c r="J15" s="74">
        <f>IFERROR(IF(I15&gt;0,H15/I15,"-"),"-")</f>
        <v/>
      </c>
      <c r="K15" s="75" t="n">
        <v>5</v>
      </c>
      <c r="L15" s="74" t="n">
        <v>58</v>
      </c>
      <c r="M15" s="74">
        <f>IFERROR(IF(L15&gt;0,K15/L15,"-"),"-")</f>
        <v/>
      </c>
      <c r="N15" s="75" t="n"/>
      <c r="O15" s="74" t="n">
        <v>30</v>
      </c>
      <c r="P15" s="74">
        <f>IFERROR(IF(O15&gt;0,N15/O15,"-"),"-")</f>
        <v/>
      </c>
      <c r="Q15" s="75" t="n">
        <v>3</v>
      </c>
      <c r="R15" s="74" t="n">
        <v>9</v>
      </c>
      <c r="S15" s="74">
        <f>IFERROR(IF(R15&gt;0,Q15/R15,"-"),"-")</f>
        <v/>
      </c>
      <c r="T15" s="75" t="n">
        <v>1</v>
      </c>
      <c r="U15" s="74" t="n">
        <v>8</v>
      </c>
      <c r="V15" s="74">
        <f>IFERROR(IF(U15&gt;0,T15/U15,"-"),"-")</f>
        <v/>
      </c>
      <c r="W15" s="75" t="n">
        <v>4</v>
      </c>
      <c r="X15" s="74" t="n">
        <v>5</v>
      </c>
      <c r="Y15" s="74">
        <f>IFERROR(IF(X15&gt;0,W15/X15,"-"),"-")</f>
        <v/>
      </c>
      <c r="Z15" s="75" t="n">
        <v>7</v>
      </c>
      <c r="AA15" s="74" t="n">
        <v>28</v>
      </c>
      <c r="AB15" s="74">
        <f>IFERROR(IF(AA15&gt;0,Z15/AA15,"-"),"-")</f>
        <v/>
      </c>
      <c r="AC15" s="75" t="n">
        <v>6</v>
      </c>
      <c r="AD15" s="74" t="n">
        <v>10</v>
      </c>
      <c r="AE15" s="74">
        <f>IFERROR(IF(AD15&gt;0,AC15/AD15,"-"),"-")</f>
        <v/>
      </c>
      <c r="AF15" s="75" t="n"/>
      <c r="AG15" s="74" t="n"/>
      <c r="AH15" s="74">
        <f>IFERROR(IF(AG15&gt;0,AF15/AG15,"-"),"-")</f>
        <v/>
      </c>
      <c r="AI15" s="75" t="n">
        <v>2</v>
      </c>
      <c r="AJ15" s="74" t="n">
        <v>6</v>
      </c>
      <c r="AK15" s="74">
        <f>IFERROR(IF(AJ15&gt;0,AI15/AJ15,"-"),"-")</f>
        <v/>
      </c>
      <c r="AL15" s="75" t="n">
        <v>1</v>
      </c>
      <c r="AM15" s="74" t="n">
        <v>5</v>
      </c>
      <c r="AN15" s="74">
        <f>IFERROR(IF(AM15&gt;0,AL15/AM15,"-"),"-")</f>
        <v/>
      </c>
      <c r="AO15" s="75" t="n">
        <v>2</v>
      </c>
      <c r="AP15" s="74" t="n">
        <v>11</v>
      </c>
      <c r="AQ15" s="74">
        <f>IFERROR(IF(AP15&gt;0,AO15/AP15,"-"),"-")</f>
        <v/>
      </c>
      <c r="AR15" s="75" t="n">
        <v>3</v>
      </c>
      <c r="AS15" s="60" t="n"/>
      <c r="AT15" s="60" t="n"/>
    </row>
    <row r="16" ht="15" customHeight="1">
      <c r="A16" s="70" t="n">
        <v>9</v>
      </c>
      <c r="B16" s="71" t="inlineStr">
        <is>
          <t>Bel Collections</t>
        </is>
      </c>
      <c r="C16" s="70" t="inlineStr">
        <is>
          <t>B00004</t>
        </is>
      </c>
      <c r="D16" s="71" t="inlineStr">
        <is>
          <t>Meydan</t>
        </is>
      </c>
      <c r="E16" s="70" t="n">
        <v>6</v>
      </c>
      <c r="F16" s="72">
        <f>SUM(I16:AP16)</f>
        <v/>
      </c>
      <c r="G16" s="72">
        <f>SUM(J16:AQ16)</f>
        <v/>
      </c>
      <c r="H16" s="73">
        <f>IFERROR(IF(G16&gt;0,F16/G16,"-"),"-")</f>
        <v/>
      </c>
      <c r="I16" s="74" t="n">
        <v>15</v>
      </c>
      <c r="J16" s="74">
        <f>IFERROR(IF(I16&gt;0,H16/I16,"-"),"-")</f>
        <v/>
      </c>
      <c r="K16" s="75" t="n">
        <v>4</v>
      </c>
      <c r="L16" s="74" t="n">
        <v>81</v>
      </c>
      <c r="M16" s="74">
        <f>IFERROR(IF(L16&gt;0,K16/L16,"-"),"-")</f>
        <v/>
      </c>
      <c r="N16" s="75" t="n">
        <v>6</v>
      </c>
      <c r="O16" s="74" t="n">
        <v>11</v>
      </c>
      <c r="P16" s="74">
        <f>IFERROR(IF(O16&gt;0,N16/O16,"-"),"-")</f>
        <v/>
      </c>
      <c r="Q16" s="75" t="n">
        <v>4</v>
      </c>
      <c r="R16" s="74" t="n">
        <v>23</v>
      </c>
      <c r="S16" s="74">
        <f>IFERROR(IF(R16&gt;0,Q16/R16,"-"),"-")</f>
        <v/>
      </c>
      <c r="T16" s="75" t="n">
        <v>2</v>
      </c>
      <c r="U16" s="74" t="n">
        <v>28</v>
      </c>
      <c r="V16" s="74">
        <f>IFERROR(IF(U16&gt;0,T16/U16,"-"),"-")</f>
        <v/>
      </c>
      <c r="W16" s="75" t="n">
        <v>12</v>
      </c>
      <c r="X16" s="74" t="n">
        <v>24</v>
      </c>
      <c r="Y16" s="74">
        <f>IFERROR(IF(X16&gt;0,W16/X16,"-"),"-")</f>
        <v/>
      </c>
      <c r="Z16" s="75" t="n">
        <v>14</v>
      </c>
      <c r="AA16" s="74" t="n">
        <v>48</v>
      </c>
      <c r="AB16" s="74">
        <f>IFERROR(IF(AA16&gt;0,Z16/AA16,"-"),"-")</f>
        <v/>
      </c>
      <c r="AC16" s="75" t="n">
        <v>10</v>
      </c>
      <c r="AD16" s="74" t="n">
        <v>45</v>
      </c>
      <c r="AE16" s="74">
        <f>IFERROR(IF(AD16&gt;0,AC16/AD16,"-"),"-")</f>
        <v/>
      </c>
      <c r="AF16" s="75" t="n"/>
      <c r="AG16" s="74" t="n"/>
      <c r="AH16" s="74">
        <f>IFERROR(IF(AG16&gt;0,AF16/AG16,"-"),"-")</f>
        <v/>
      </c>
      <c r="AI16" s="75" t="n">
        <v>6</v>
      </c>
      <c r="AJ16" s="74" t="n">
        <v>24</v>
      </c>
      <c r="AK16" s="74">
        <f>IFERROR(IF(AJ16&gt;0,AI16/AJ16,"-"),"-")</f>
        <v/>
      </c>
      <c r="AL16" s="75" t="n">
        <v>3</v>
      </c>
      <c r="AM16" s="74" t="n">
        <v>4</v>
      </c>
      <c r="AN16" s="74">
        <f>IFERROR(IF(AM16&gt;0,AL16/AM16,"-"),"-")</f>
        <v/>
      </c>
      <c r="AO16" s="75" t="n">
        <v>6</v>
      </c>
      <c r="AP16" s="74" t="n">
        <v>12</v>
      </c>
      <c r="AQ16" s="74">
        <f>IFERROR(IF(AP16&gt;0,AO16/AP16,"-"),"-")</f>
        <v/>
      </c>
      <c r="AR16" s="75" t="n">
        <v>5</v>
      </c>
      <c r="AS16" s="60" t="n"/>
      <c r="AT16" s="60" t="n"/>
    </row>
    <row r="17" ht="15" customHeight="1">
      <c r="A17" s="70" t="n">
        <v>10</v>
      </c>
      <c r="B17" s="71" t="inlineStr">
        <is>
          <t>Bel Collections</t>
        </is>
      </c>
      <c r="C17" s="70" t="inlineStr">
        <is>
          <t>B00005</t>
        </is>
      </c>
      <c r="D17" s="71" t="inlineStr">
        <is>
          <t>Mystery</t>
        </is>
      </c>
      <c r="E17" s="70" t="n">
        <v>1</v>
      </c>
      <c r="F17" s="72">
        <f>SUM(I17:AP17)</f>
        <v/>
      </c>
      <c r="G17" s="72">
        <f>SUM(J17:AQ17)</f>
        <v/>
      </c>
      <c r="H17" s="73">
        <f>IFERROR(IF(G17&gt;0,F17/G17,"-"),"-")</f>
        <v/>
      </c>
      <c r="I17" s="74" t="n">
        <v>1</v>
      </c>
      <c r="J17" s="74">
        <f>IFERROR(IF(I17&gt;0,H17/I17,"-"),"-")</f>
        <v/>
      </c>
      <c r="K17" s="75" t="n"/>
      <c r="L17" s="74" t="n">
        <v>3</v>
      </c>
      <c r="M17" s="74">
        <f>IFERROR(IF(L17&gt;0,K17/L17,"-"),"-")</f>
        <v/>
      </c>
      <c r="N17" s="75" t="n"/>
      <c r="O17" s="74" t="n">
        <v>1</v>
      </c>
      <c r="P17" s="74">
        <f>IFERROR(IF(O17&gt;0,N17/O17,"-"),"-")</f>
        <v/>
      </c>
      <c r="Q17" s="75" t="n"/>
      <c r="R17" s="74" t="n">
        <v>7</v>
      </c>
      <c r="S17" s="74">
        <f>IFERROR(IF(R17&gt;0,Q17/R17,"-"),"-")</f>
        <v/>
      </c>
      <c r="T17" s="75" t="n"/>
      <c r="U17" s="74" t="n">
        <v>1</v>
      </c>
      <c r="V17" s="74">
        <f>IFERROR(IF(U17&gt;0,T17/U17,"-"),"-")</f>
        <v/>
      </c>
      <c r="W17" s="75" t="n">
        <v>1</v>
      </c>
      <c r="X17" s="74" t="n">
        <v>1</v>
      </c>
      <c r="Y17" s="74">
        <f>IFERROR(IF(X17&gt;0,W17/X17,"-"),"-")</f>
        <v/>
      </c>
      <c r="Z17" s="75" t="n"/>
      <c r="AA17" s="74" t="n">
        <v>3</v>
      </c>
      <c r="AB17" s="74">
        <f>IFERROR(IF(AA17&gt;0,Z17/AA17,"-"),"-")</f>
        <v/>
      </c>
      <c r="AC17" s="75" t="n">
        <v>1</v>
      </c>
      <c r="AD17" s="74" t="n">
        <v>3</v>
      </c>
      <c r="AE17" s="74">
        <f>IFERROR(IF(AD17&gt;0,AC17/AD17,"-"),"-")</f>
        <v/>
      </c>
      <c r="AF17" s="75" t="n"/>
      <c r="AG17" s="74" t="n"/>
      <c r="AH17" s="74">
        <f>IFERROR(IF(AG17&gt;0,AF17/AG17,"-"),"-")</f>
        <v/>
      </c>
      <c r="AI17" s="75" t="n"/>
      <c r="AJ17" s="74" t="n"/>
      <c r="AK17" s="74">
        <f>IFERROR(IF(AJ17&gt;0,AI17/AJ17,"-"),"-")</f>
        <v/>
      </c>
      <c r="AL17" s="75" t="n"/>
      <c r="AM17" s="74" t="n"/>
      <c r="AN17" s="74">
        <f>IFERROR(IF(AM17&gt;0,AL17/AM17,"-"),"-")</f>
        <v/>
      </c>
      <c r="AO17" s="75" t="n">
        <v>1</v>
      </c>
      <c r="AP17" s="74" t="n">
        <v>3</v>
      </c>
      <c r="AQ17" s="74">
        <f>IFERROR(IF(AP17&gt;0,AO17/AP17,"-"),"-")</f>
        <v/>
      </c>
      <c r="AR17" s="75" t="n"/>
      <c r="AS17" s="60" t="n"/>
      <c r="AT17" s="60" t="n"/>
    </row>
    <row r="18" ht="15" customHeight="1">
      <c r="A18" s="70" t="n">
        <v>11</v>
      </c>
      <c r="B18" s="71" t="inlineStr">
        <is>
          <t>Bel Collections</t>
        </is>
      </c>
      <c r="C18" s="70" t="inlineStr">
        <is>
          <t>B00006</t>
        </is>
      </c>
      <c r="D18" s="71" t="inlineStr">
        <is>
          <t>Mersal</t>
        </is>
      </c>
      <c r="E18" s="70" t="n">
        <v>1</v>
      </c>
      <c r="F18" s="72">
        <f>SUM(I18:AP18)</f>
        <v/>
      </c>
      <c r="G18" s="72">
        <f>SUM(J18:AQ18)</f>
        <v/>
      </c>
      <c r="H18" s="73">
        <f>IFERROR(IF(G18&gt;0,F18/G18,"-"),"-")</f>
        <v/>
      </c>
      <c r="I18" s="74" t="n">
        <v>3</v>
      </c>
      <c r="J18" s="74">
        <f>IFERROR(IF(I18&gt;0,H18/I18,"-"),"-")</f>
        <v/>
      </c>
      <c r="K18" s="75" t="n"/>
      <c r="L18" s="74" t="n">
        <v>3</v>
      </c>
      <c r="M18" s="74">
        <f>IFERROR(IF(L18&gt;0,K18/L18,"-"),"-")</f>
        <v/>
      </c>
      <c r="N18" s="75" t="n"/>
      <c r="O18" s="74" t="n">
        <v>2</v>
      </c>
      <c r="P18" s="74">
        <f>IFERROR(IF(O18&gt;0,N18/O18,"-"),"-")</f>
        <v/>
      </c>
      <c r="Q18" s="75" t="n">
        <v>1</v>
      </c>
      <c r="R18" s="74" t="n">
        <v>7</v>
      </c>
      <c r="S18" s="74">
        <f>IFERROR(IF(R18&gt;0,Q18/R18,"-"),"-")</f>
        <v/>
      </c>
      <c r="T18" s="75" t="n"/>
      <c r="U18" s="74" t="n">
        <v>3</v>
      </c>
      <c r="V18" s="74">
        <f>IFERROR(IF(U18&gt;0,T18/U18,"-"),"-")</f>
        <v/>
      </c>
      <c r="W18" s="75" t="n"/>
      <c r="X18" s="74" t="n">
        <v>1</v>
      </c>
      <c r="Y18" s="74">
        <f>IFERROR(IF(X18&gt;0,W18/X18,"-"),"-")</f>
        <v/>
      </c>
      <c r="Z18" s="75" t="n">
        <v>2</v>
      </c>
      <c r="AA18" s="74" t="n">
        <v>3</v>
      </c>
      <c r="AB18" s="74">
        <f>IFERROR(IF(AA18&gt;0,Z18/AA18,"-"),"-")</f>
        <v/>
      </c>
      <c r="AC18" s="75" t="n">
        <v>1</v>
      </c>
      <c r="AD18" s="74" t="n">
        <v>1</v>
      </c>
      <c r="AE18" s="74">
        <f>IFERROR(IF(AD18&gt;0,AC18/AD18,"-"),"-")</f>
        <v/>
      </c>
      <c r="AF18" s="75" t="n"/>
      <c r="AG18" s="74" t="n"/>
      <c r="AH18" s="74">
        <f>IFERROR(IF(AG18&gt;0,AF18/AG18,"-"),"-")</f>
        <v/>
      </c>
      <c r="AI18" s="75" t="n">
        <v>2</v>
      </c>
      <c r="AJ18" s="74" t="n">
        <v>2</v>
      </c>
      <c r="AK18" s="74">
        <f>IFERROR(IF(AJ18&gt;0,AI18/AJ18,"-"),"-")</f>
        <v/>
      </c>
      <c r="AL18" s="75" t="n">
        <v>1</v>
      </c>
      <c r="AM18" s="74" t="n">
        <v>2</v>
      </c>
      <c r="AN18" s="74">
        <f>IFERROR(IF(AM18&gt;0,AL18/AM18,"-"),"-")</f>
        <v/>
      </c>
      <c r="AO18" s="75" t="n">
        <v>1</v>
      </c>
      <c r="AP18" s="74" t="n">
        <v>6</v>
      </c>
      <c r="AQ18" s="74">
        <f>IFERROR(IF(AP18&gt;0,AO18/AP18,"-"),"-")</f>
        <v/>
      </c>
      <c r="AR18" s="75" t="n">
        <v>1</v>
      </c>
      <c r="AS18" s="60" t="n"/>
      <c r="AT18" s="60" t="n"/>
    </row>
    <row r="19" ht="15" customHeight="1">
      <c r="A19" s="70" t="n">
        <v>12</v>
      </c>
      <c r="B19" s="71" t="inlineStr">
        <is>
          <t>Bel Collections</t>
        </is>
      </c>
      <c r="C19" s="70" t="inlineStr">
        <is>
          <t>B00007</t>
        </is>
      </c>
      <c r="D19" s="71" t="inlineStr">
        <is>
          <t>Peaceful Life</t>
        </is>
      </c>
      <c r="E19" s="70" t="n"/>
      <c r="F19" s="72">
        <f>SUM(I19:AP19)</f>
        <v/>
      </c>
      <c r="G19" s="72">
        <f>SUM(J19:AQ19)</f>
        <v/>
      </c>
      <c r="H19" s="73">
        <f>IFERROR(IF(G19&gt;0,F19/G19,"-"),"-")</f>
        <v/>
      </c>
      <c r="I19" s="74" t="n">
        <v>3</v>
      </c>
      <c r="J19" s="74">
        <f>IFERROR(IF(I19&gt;0,H19/I19,"-"),"-")</f>
        <v/>
      </c>
      <c r="K19" s="75" t="n">
        <v>4</v>
      </c>
      <c r="L19" s="74" t="n">
        <v>100</v>
      </c>
      <c r="M19" s="74">
        <f>IFERROR(IF(L19&gt;0,K19/L19,"-"),"-")</f>
        <v/>
      </c>
      <c r="N19" s="75" t="n">
        <v>2</v>
      </c>
      <c r="O19" s="74" t="n">
        <v>50</v>
      </c>
      <c r="P19" s="74">
        <f>IFERROR(IF(O19&gt;0,N19/O19,"-"),"-")</f>
        <v/>
      </c>
      <c r="Q19" s="75" t="n">
        <v>1</v>
      </c>
      <c r="R19" s="74" t="n">
        <v>6</v>
      </c>
      <c r="S19" s="74">
        <f>IFERROR(IF(R19&gt;0,Q19/R19,"-"),"-")</f>
        <v/>
      </c>
      <c r="T19" s="75" t="n">
        <v>1</v>
      </c>
      <c r="U19" s="74" t="n">
        <v>5</v>
      </c>
      <c r="V19" s="74">
        <f>IFERROR(IF(U19&gt;0,T19/U19,"-"),"-")</f>
        <v/>
      </c>
      <c r="W19" s="75" t="n">
        <v>2</v>
      </c>
      <c r="X19" s="74" t="n">
        <v>5</v>
      </c>
      <c r="Y19" s="74">
        <f>IFERROR(IF(X19&gt;0,W19/X19,"-"),"-")</f>
        <v/>
      </c>
      <c r="Z19" s="75" t="n">
        <v>2</v>
      </c>
      <c r="AA19" s="74" t="n">
        <v>7</v>
      </c>
      <c r="AB19" s="74">
        <f>IFERROR(IF(AA19&gt;0,Z19/AA19,"-"),"-")</f>
        <v/>
      </c>
      <c r="AC19" s="75" t="n">
        <v>1</v>
      </c>
      <c r="AD19" s="74" t="n">
        <v>5</v>
      </c>
      <c r="AE19" s="74">
        <f>IFERROR(IF(AD19&gt;0,AC19/AD19,"-"),"-")</f>
        <v/>
      </c>
      <c r="AF19" s="75" t="n"/>
      <c r="AG19" s="74" t="n"/>
      <c r="AH19" s="74">
        <f>IFERROR(IF(AG19&gt;0,AF19/AG19,"-"),"-")</f>
        <v/>
      </c>
      <c r="AI19" s="75" t="n">
        <v>1</v>
      </c>
      <c r="AJ19" s="74" t="n">
        <v>4</v>
      </c>
      <c r="AK19" s="74">
        <f>IFERROR(IF(AJ19&gt;0,AI19/AJ19,"-"),"-")</f>
        <v/>
      </c>
      <c r="AL19" s="75" t="n"/>
      <c r="AM19" s="74" t="n"/>
      <c r="AN19" s="74">
        <f>IFERROR(IF(AM19&gt;0,AL19/AM19,"-"),"-")</f>
        <v/>
      </c>
      <c r="AO19" s="75" t="n">
        <v>3</v>
      </c>
      <c r="AP19" s="74" t="n">
        <v>6</v>
      </c>
      <c r="AQ19" s="74">
        <f>IFERROR(IF(AP19&gt;0,AO19/AP19,"-"),"-")</f>
        <v/>
      </c>
      <c r="AR19" s="75" t="n">
        <v>1</v>
      </c>
      <c r="AS19" s="60" t="n"/>
      <c r="AT19" s="60" t="n"/>
    </row>
    <row r="20" ht="15" customHeight="1">
      <c r="A20" s="70" t="n">
        <v>13</v>
      </c>
      <c r="B20" s="71" t="inlineStr">
        <is>
          <t>Bel Collections</t>
        </is>
      </c>
      <c r="C20" s="70" t="inlineStr">
        <is>
          <t>B00008</t>
        </is>
      </c>
      <c r="D20" s="71" t="inlineStr">
        <is>
          <t>Midnight Glow</t>
        </is>
      </c>
      <c r="E20" s="70" t="n">
        <v>7</v>
      </c>
      <c r="F20" s="72">
        <f>SUM(I20:AP20)</f>
        <v/>
      </c>
      <c r="G20" s="72">
        <f>SUM(J20:AQ20)</f>
        <v/>
      </c>
      <c r="H20" s="73">
        <f>IFERROR(IF(G20&gt;0,F20/G20,"-"),"-")</f>
        <v/>
      </c>
      <c r="I20" s="74" t="n">
        <v>14</v>
      </c>
      <c r="J20" s="74">
        <f>IFERROR(IF(I20&gt;0,H20/I20,"-"),"-")</f>
        <v/>
      </c>
      <c r="K20" s="75" t="n">
        <v>5</v>
      </c>
      <c r="L20" s="74" t="n">
        <v>10</v>
      </c>
      <c r="M20" s="74">
        <f>IFERROR(IF(L20&gt;0,K20/L20,"-"),"-")</f>
        <v/>
      </c>
      <c r="N20" s="75" t="n">
        <v>5</v>
      </c>
      <c r="O20" s="74" t="n">
        <v>6</v>
      </c>
      <c r="P20" s="74">
        <f>IFERROR(IF(O20&gt;0,N20/O20,"-"),"-")</f>
        <v/>
      </c>
      <c r="Q20" s="75" t="n">
        <v>4</v>
      </c>
      <c r="R20" s="74" t="n">
        <v>42</v>
      </c>
      <c r="S20" s="74">
        <f>IFERROR(IF(R20&gt;0,Q20/R20,"-"),"-")</f>
        <v/>
      </c>
      <c r="T20" s="75" t="n">
        <v>1</v>
      </c>
      <c r="U20" s="74" t="n">
        <v>28</v>
      </c>
      <c r="V20" s="74">
        <f>IFERROR(IF(U20&gt;0,T20/U20,"-"),"-")</f>
        <v/>
      </c>
      <c r="W20" s="75" t="n">
        <v>10</v>
      </c>
      <c r="X20" s="74" t="n">
        <v>32</v>
      </c>
      <c r="Y20" s="74">
        <f>IFERROR(IF(X20&gt;0,W20/X20,"-"),"-")</f>
        <v/>
      </c>
      <c r="Z20" s="75" t="n">
        <v>13</v>
      </c>
      <c r="AA20" s="74" t="n">
        <v>64</v>
      </c>
      <c r="AB20" s="74">
        <f>IFERROR(IF(AA20&gt;0,Z20/AA20,"-"),"-")</f>
        <v/>
      </c>
      <c r="AC20" s="75" t="n">
        <v>6</v>
      </c>
      <c r="AD20" s="74" t="n">
        <v>41</v>
      </c>
      <c r="AE20" s="74">
        <f>IFERROR(IF(AD20&gt;0,AC20/AD20,"-"),"-")</f>
        <v/>
      </c>
      <c r="AF20" s="75" t="n"/>
      <c r="AG20" s="74" t="n"/>
      <c r="AH20" s="74">
        <f>IFERROR(IF(AG20&gt;0,AF20/AG20,"-"),"-")</f>
        <v/>
      </c>
      <c r="AI20" s="75" t="n">
        <v>5</v>
      </c>
      <c r="AJ20" s="74" t="n">
        <v>28</v>
      </c>
      <c r="AK20" s="74">
        <f>IFERROR(IF(AJ20&gt;0,AI20/AJ20,"-"),"-")</f>
        <v/>
      </c>
      <c r="AL20" s="75" t="n">
        <v>3</v>
      </c>
      <c r="AM20" s="74" t="n">
        <v>15</v>
      </c>
      <c r="AN20" s="74">
        <f>IFERROR(IF(AM20&gt;0,AL20/AM20,"-"),"-")</f>
        <v/>
      </c>
      <c r="AO20" s="75" t="n">
        <v>5</v>
      </c>
      <c r="AP20" s="74" t="n">
        <v>36</v>
      </c>
      <c r="AQ20" s="74">
        <f>IFERROR(IF(AP20&gt;0,AO20/AP20,"-"),"-")</f>
        <v/>
      </c>
      <c r="AR20" s="75" t="n">
        <v>6</v>
      </c>
      <c r="AS20" s="60" t="n"/>
      <c r="AT20" s="60" t="n"/>
    </row>
    <row r="21" ht="15" customHeight="1">
      <c r="A21" s="70" t="n">
        <v>14</v>
      </c>
      <c r="B21" s="71" t="inlineStr">
        <is>
          <t>Bel Collections</t>
        </is>
      </c>
      <c r="C21" s="70" t="inlineStr">
        <is>
          <t>B00010</t>
        </is>
      </c>
      <c r="D21" s="71" t="inlineStr">
        <is>
          <t>Sakura</t>
        </is>
      </c>
      <c r="E21" s="70" t="n">
        <v>1</v>
      </c>
      <c r="F21" s="72">
        <f>SUM(I21:AP21)</f>
        <v/>
      </c>
      <c r="G21" s="72">
        <f>SUM(J21:AQ21)</f>
        <v/>
      </c>
      <c r="H21" s="73">
        <f>IFERROR(IF(G21&gt;0,F21/G21,"-"),"-")</f>
        <v/>
      </c>
      <c r="I21" s="74" t="n"/>
      <c r="J21" s="74">
        <f>IFERROR(IF(I21&gt;0,H21/I21,"-"),"-")</f>
        <v/>
      </c>
      <c r="K21" s="75" t="n">
        <v>2</v>
      </c>
      <c r="L21" s="74" t="n">
        <v>22</v>
      </c>
      <c r="M21" s="74">
        <f>IFERROR(IF(L21&gt;0,K21/L21,"-"),"-")</f>
        <v/>
      </c>
      <c r="N21" s="75" t="n">
        <v>1</v>
      </c>
      <c r="O21" s="74" t="n">
        <v>1</v>
      </c>
      <c r="P21" s="74">
        <f>IFERROR(IF(O21&gt;0,N21/O21,"-"),"-")</f>
        <v/>
      </c>
      <c r="Q21" s="75" t="n">
        <v>2</v>
      </c>
      <c r="R21" s="74" t="n">
        <v>3</v>
      </c>
      <c r="S21" s="74">
        <f>IFERROR(IF(R21&gt;0,Q21/R21,"-"),"-")</f>
        <v/>
      </c>
      <c r="T21" s="75" t="n">
        <v>1</v>
      </c>
      <c r="U21" s="74" t="n">
        <v>1</v>
      </c>
      <c r="V21" s="74">
        <f>IFERROR(IF(U21&gt;0,T21/U21,"-"),"-")</f>
        <v/>
      </c>
      <c r="W21" s="75" t="n">
        <v>2</v>
      </c>
      <c r="X21" s="74" t="n">
        <v>4</v>
      </c>
      <c r="Y21" s="74">
        <f>IFERROR(IF(X21&gt;0,W21/X21,"-"),"-")</f>
        <v/>
      </c>
      <c r="Z21" s="75" t="n">
        <v>2</v>
      </c>
      <c r="AA21" s="74" t="n">
        <v>2</v>
      </c>
      <c r="AB21" s="74">
        <f>IFERROR(IF(AA21&gt;0,Z21/AA21,"-"),"-")</f>
        <v/>
      </c>
      <c r="AC21" s="75" t="n">
        <v>2</v>
      </c>
      <c r="AD21" s="74" t="n">
        <v>3</v>
      </c>
      <c r="AE21" s="74">
        <f>IFERROR(IF(AD21&gt;0,AC21/AD21,"-"),"-")</f>
        <v/>
      </c>
      <c r="AF21" s="75" t="n"/>
      <c r="AG21" s="74" t="n"/>
      <c r="AH21" s="74">
        <f>IFERROR(IF(AG21&gt;0,AF21/AG21,"-"),"-")</f>
        <v/>
      </c>
      <c r="AI21" s="75" t="n">
        <v>2</v>
      </c>
      <c r="AJ21" s="74" t="n">
        <v>5</v>
      </c>
      <c r="AK21" s="74">
        <f>IFERROR(IF(AJ21&gt;0,AI21/AJ21,"-"),"-")</f>
        <v/>
      </c>
      <c r="AL21" s="75" t="n">
        <v>1</v>
      </c>
      <c r="AM21" s="74" t="n">
        <v>1</v>
      </c>
      <c r="AN21" s="74">
        <f>IFERROR(IF(AM21&gt;0,AL21/AM21,"-"),"-")</f>
        <v/>
      </c>
      <c r="AO21" s="75" t="n">
        <v>2</v>
      </c>
      <c r="AP21" s="74" t="n">
        <v>3</v>
      </c>
      <c r="AQ21" s="74">
        <f>IFERROR(IF(AP21&gt;0,AO21/AP21,"-"),"-")</f>
        <v/>
      </c>
      <c r="AR21" s="75" t="n">
        <v>2</v>
      </c>
      <c r="AS21" s="60" t="n"/>
      <c r="AT21" s="60" t="n"/>
    </row>
    <row r="22" ht="15" customHeight="1">
      <c r="A22" s="70" t="n">
        <v>15</v>
      </c>
      <c r="B22" s="71" t="inlineStr">
        <is>
          <t>Bel Collections</t>
        </is>
      </c>
      <c r="C22" s="70" t="inlineStr">
        <is>
          <t>B00012</t>
        </is>
      </c>
      <c r="D22" s="71" t="inlineStr">
        <is>
          <t>Ambergris</t>
        </is>
      </c>
      <c r="E22" s="70" t="n">
        <v>2</v>
      </c>
      <c r="F22" s="72">
        <f>SUM(I22:AP22)</f>
        <v/>
      </c>
      <c r="G22" s="72">
        <f>SUM(J22:AQ22)</f>
        <v/>
      </c>
      <c r="H22" s="73">
        <f>IFERROR(IF(G22&gt;0,F22/G22,"-"),"-")</f>
        <v/>
      </c>
      <c r="I22" s="74" t="n">
        <v>5</v>
      </c>
      <c r="J22" s="74">
        <f>IFERROR(IF(I22&gt;0,H22/I22,"-"),"-")</f>
        <v/>
      </c>
      <c r="K22" s="75" t="n"/>
      <c r="L22" s="74" t="n">
        <v>21</v>
      </c>
      <c r="M22" s="74">
        <f>IFERROR(IF(L22&gt;0,K22/L22,"-"),"-")</f>
        <v/>
      </c>
      <c r="N22" s="75" t="n">
        <v>2</v>
      </c>
      <c r="O22" s="74" t="n">
        <v>3</v>
      </c>
      <c r="P22" s="74">
        <f>IFERROR(IF(O22&gt;0,N22/O22,"-"),"-")</f>
        <v/>
      </c>
      <c r="Q22" s="75" t="n">
        <v>1</v>
      </c>
      <c r="R22" s="74" t="n">
        <v>11</v>
      </c>
      <c r="S22" s="74">
        <f>IFERROR(IF(R22&gt;0,Q22/R22,"-"),"-")</f>
        <v/>
      </c>
      <c r="T22" s="75" t="n">
        <v>1</v>
      </c>
      <c r="U22" s="74" t="n">
        <v>1</v>
      </c>
      <c r="V22" s="74">
        <f>IFERROR(IF(U22&gt;0,T22/U22,"-"),"-")</f>
        <v/>
      </c>
      <c r="W22" s="75" t="n">
        <v>4</v>
      </c>
      <c r="X22" s="74" t="n">
        <v>10</v>
      </c>
      <c r="Y22" s="74">
        <f>IFERROR(IF(X22&gt;0,W22/X22,"-"),"-")</f>
        <v/>
      </c>
      <c r="Z22" s="75" t="n">
        <v>2</v>
      </c>
      <c r="AA22" s="74" t="n">
        <v>13</v>
      </c>
      <c r="AB22" s="74">
        <f>IFERROR(IF(AA22&gt;0,Z22/AA22,"-"),"-")</f>
        <v/>
      </c>
      <c r="AC22" s="75" t="n">
        <v>6</v>
      </c>
      <c r="AD22" s="74" t="n">
        <v>5</v>
      </c>
      <c r="AE22" s="74">
        <f>IFERROR(IF(AD22&gt;0,AC22/AD22,"-"),"-")</f>
        <v/>
      </c>
      <c r="AF22" s="75" t="n"/>
      <c r="AG22" s="74" t="n"/>
      <c r="AH22" s="74">
        <f>IFERROR(IF(AG22&gt;0,AF22/AG22,"-"),"-")</f>
        <v/>
      </c>
      <c r="AI22" s="75" t="n">
        <v>4</v>
      </c>
      <c r="AJ22" s="74" t="n">
        <v>14</v>
      </c>
      <c r="AK22" s="74">
        <f>IFERROR(IF(AJ22&gt;0,AI22/AJ22,"-"),"-")</f>
        <v/>
      </c>
      <c r="AL22" s="75" t="n">
        <v>3</v>
      </c>
      <c r="AM22" s="74" t="n">
        <v>3</v>
      </c>
      <c r="AN22" s="74">
        <f>IFERROR(IF(AM22&gt;0,AL22/AM22,"-"),"-")</f>
        <v/>
      </c>
      <c r="AO22" s="75" t="n">
        <v>3</v>
      </c>
      <c r="AP22" s="74" t="n">
        <v>13</v>
      </c>
      <c r="AQ22" s="74">
        <f>IFERROR(IF(AP22&gt;0,AO22/AP22,"-"),"-")</f>
        <v/>
      </c>
      <c r="AR22" s="75" t="n">
        <v>2</v>
      </c>
      <c r="AS22" s="60" t="n"/>
      <c r="AT22" s="60" t="n"/>
    </row>
    <row r="23" ht="15" customHeight="1">
      <c r="A23" s="70" t="n">
        <v>16</v>
      </c>
      <c r="B23" s="71" t="inlineStr">
        <is>
          <t>Bel Collections</t>
        </is>
      </c>
      <c r="C23" s="70" t="inlineStr">
        <is>
          <t>B00014</t>
        </is>
      </c>
      <c r="D23" s="71" t="inlineStr">
        <is>
          <t>Firewood</t>
        </is>
      </c>
      <c r="E23" s="70" t="n">
        <v>4</v>
      </c>
      <c r="F23" s="72">
        <f>SUM(I23:AP23)</f>
        <v/>
      </c>
      <c r="G23" s="72">
        <f>SUM(J23:AQ23)</f>
        <v/>
      </c>
      <c r="H23" s="73">
        <f>IFERROR(IF(G23&gt;0,F23/G23,"-"),"-")</f>
        <v/>
      </c>
      <c r="I23" s="74" t="n">
        <v>9</v>
      </c>
      <c r="J23" s="74">
        <f>IFERROR(IF(I23&gt;0,H23/I23,"-"),"-")</f>
        <v/>
      </c>
      <c r="K23" s="75" t="n">
        <v>5</v>
      </c>
      <c r="L23" s="74" t="n"/>
      <c r="M23" s="74">
        <f>IFERROR(IF(L23&gt;0,K23/L23,"-"),"-")</f>
        <v/>
      </c>
      <c r="N23" s="75" t="n">
        <v>1</v>
      </c>
      <c r="O23" s="74" t="n">
        <v>2</v>
      </c>
      <c r="P23" s="74">
        <f>IFERROR(IF(O23&gt;0,N23/O23,"-"),"-")</f>
        <v/>
      </c>
      <c r="Q23" s="75" t="n"/>
      <c r="R23" s="74" t="n">
        <v>11</v>
      </c>
      <c r="S23" s="74">
        <f>IFERROR(IF(R23&gt;0,Q23/R23,"-"),"-")</f>
        <v/>
      </c>
      <c r="T23" s="75" t="n">
        <v>1</v>
      </c>
      <c r="U23" s="74" t="n">
        <v>11</v>
      </c>
      <c r="V23" s="74">
        <f>IFERROR(IF(U23&gt;0,T23/U23,"-"),"-")</f>
        <v/>
      </c>
      <c r="W23" s="75" t="n">
        <v>5</v>
      </c>
      <c r="X23" s="74" t="n">
        <v>4</v>
      </c>
      <c r="Y23" s="74">
        <f>IFERROR(IF(X23&gt;0,W23/X23,"-"),"-")</f>
        <v/>
      </c>
      <c r="Z23" s="75" t="n">
        <v>7</v>
      </c>
      <c r="AA23" s="74" t="n">
        <v>18</v>
      </c>
      <c r="AB23" s="74">
        <f>IFERROR(IF(AA23&gt;0,Z23/AA23,"-"),"-")</f>
        <v/>
      </c>
      <c r="AC23" s="75" t="n">
        <v>2</v>
      </c>
      <c r="AD23" s="74" t="n">
        <v>15</v>
      </c>
      <c r="AE23" s="74">
        <f>IFERROR(IF(AD23&gt;0,AC23/AD23,"-"),"-")</f>
        <v/>
      </c>
      <c r="AF23" s="75" t="n"/>
      <c r="AG23" s="74" t="n"/>
      <c r="AH23" s="74">
        <f>IFERROR(IF(AG23&gt;0,AF23/AG23,"-"),"-")</f>
        <v/>
      </c>
      <c r="AI23" s="75" t="n">
        <v>3</v>
      </c>
      <c r="AJ23" s="74" t="n">
        <v>11</v>
      </c>
      <c r="AK23" s="74">
        <f>IFERROR(IF(AJ23&gt;0,AI23/AJ23,"-"),"-")</f>
        <v/>
      </c>
      <c r="AL23" s="75" t="n">
        <v>2</v>
      </c>
      <c r="AM23" s="74" t="n">
        <v>5</v>
      </c>
      <c r="AN23" s="74">
        <f>IFERROR(IF(AM23&gt;0,AL23/AM23,"-"),"-")</f>
        <v/>
      </c>
      <c r="AO23" s="75" t="n">
        <v>4</v>
      </c>
      <c r="AP23" s="74" t="n">
        <v>9</v>
      </c>
      <c r="AQ23" s="74">
        <f>IFERROR(IF(AP23&gt;0,AO23/AP23,"-"),"-")</f>
        <v/>
      </c>
      <c r="AR23" s="75" t="n">
        <v>4</v>
      </c>
      <c r="AS23" s="60" t="n"/>
      <c r="AT23" s="60" t="n"/>
    </row>
    <row r="24" ht="15" customHeight="1">
      <c r="A24" s="70" t="n">
        <v>17</v>
      </c>
      <c r="B24" s="71" t="inlineStr">
        <is>
          <t>Bel Collections</t>
        </is>
      </c>
      <c r="C24" s="70" t="inlineStr">
        <is>
          <t>B00015</t>
        </is>
      </c>
      <c r="D24" s="71" t="inlineStr">
        <is>
          <t>Hidden Leather</t>
        </is>
      </c>
      <c r="E24" s="70" t="n">
        <v>3</v>
      </c>
      <c r="F24" s="72">
        <f>SUM(I24:AP24)</f>
        <v/>
      </c>
      <c r="G24" s="72">
        <f>SUM(J24:AQ24)</f>
        <v/>
      </c>
      <c r="H24" s="73">
        <f>IFERROR(IF(G24&gt;0,F24/G24,"-"),"-")</f>
        <v/>
      </c>
      <c r="I24" s="74" t="n">
        <v>8</v>
      </c>
      <c r="J24" s="74">
        <f>IFERROR(IF(I24&gt;0,H24/I24,"-"),"-")</f>
        <v/>
      </c>
      <c r="K24" s="75" t="n">
        <v>4</v>
      </c>
      <c r="L24" s="74" t="n">
        <v>42</v>
      </c>
      <c r="M24" s="74">
        <f>IFERROR(IF(L24&gt;0,K24/L24,"-"),"-")</f>
        <v/>
      </c>
      <c r="N24" s="75" t="n">
        <v>2</v>
      </c>
      <c r="O24" s="74" t="n">
        <v>5</v>
      </c>
      <c r="P24" s="74">
        <f>IFERROR(IF(O24&gt;0,N24/O24,"-"),"-")</f>
        <v/>
      </c>
      <c r="Q24" s="75" t="n">
        <v>1</v>
      </c>
      <c r="R24" s="74" t="n">
        <v>2</v>
      </c>
      <c r="S24" s="74">
        <f>IFERROR(IF(R24&gt;0,Q24/R24,"-"),"-")</f>
        <v/>
      </c>
      <c r="T24" s="75" t="n">
        <v>2</v>
      </c>
      <c r="U24" s="74" t="n">
        <v>14</v>
      </c>
      <c r="V24" s="74">
        <f>IFERROR(IF(U24&gt;0,T24/U24,"-"),"-")</f>
        <v/>
      </c>
      <c r="W24" s="75" t="n">
        <v>8</v>
      </c>
      <c r="X24" s="74" t="n">
        <v>11</v>
      </c>
      <c r="Y24" s="74">
        <f>IFERROR(IF(X24&gt;0,W24/X24,"-"),"-")</f>
        <v/>
      </c>
      <c r="Z24" s="75" t="n">
        <v>11</v>
      </c>
      <c r="AA24" s="74" t="n">
        <v>29</v>
      </c>
      <c r="AB24" s="74">
        <f>IFERROR(IF(AA24&gt;0,Z24/AA24,"-"),"-")</f>
        <v/>
      </c>
      <c r="AC24" s="75" t="n">
        <v>9</v>
      </c>
      <c r="AD24" s="74" t="n">
        <v>16</v>
      </c>
      <c r="AE24" s="74">
        <f>IFERROR(IF(AD24&gt;0,AC24/AD24,"-"),"-")</f>
        <v/>
      </c>
      <c r="AF24" s="75" t="n"/>
      <c r="AG24" s="74" t="n"/>
      <c r="AH24" s="74">
        <f>IFERROR(IF(AG24&gt;0,AF24/AG24,"-"),"-")</f>
        <v/>
      </c>
      <c r="AI24" s="75" t="n">
        <v>6</v>
      </c>
      <c r="AJ24" s="74" t="n">
        <v>14</v>
      </c>
      <c r="AK24" s="74">
        <f>IFERROR(IF(AJ24&gt;0,AI24/AJ24,"-"),"-")</f>
        <v/>
      </c>
      <c r="AL24" s="75" t="n">
        <v>6</v>
      </c>
      <c r="AM24" s="74" t="n">
        <v>9</v>
      </c>
      <c r="AN24" s="74">
        <f>IFERROR(IF(AM24&gt;0,AL24/AM24,"-"),"-")</f>
        <v/>
      </c>
      <c r="AO24" s="75" t="n">
        <v>4</v>
      </c>
      <c r="AP24" s="74" t="n">
        <v>9</v>
      </c>
      <c r="AQ24" s="74">
        <f>IFERROR(IF(AP24&gt;0,AO24/AP24,"-"),"-")</f>
        <v/>
      </c>
      <c r="AR24" s="75" t="n">
        <v>6</v>
      </c>
      <c r="AS24" s="60" t="n"/>
      <c r="AT24" s="60" t="n"/>
    </row>
    <row r="25" ht="15" customHeight="1">
      <c r="A25" s="70" t="n">
        <v>18</v>
      </c>
      <c r="B25" s="71" t="inlineStr">
        <is>
          <t>Bel Collections</t>
        </is>
      </c>
      <c r="C25" s="70" t="inlineStr">
        <is>
          <t>B00016</t>
        </is>
      </c>
      <c r="D25" s="71" t="inlineStr">
        <is>
          <t>Mysterious Rose</t>
        </is>
      </c>
      <c r="E25" s="70" t="n">
        <v>4</v>
      </c>
      <c r="F25" s="72">
        <f>SUM(I25:AP25)</f>
        <v/>
      </c>
      <c r="G25" s="72">
        <f>SUM(J25:AQ25)</f>
        <v/>
      </c>
      <c r="H25" s="73">
        <f>IFERROR(IF(G25&gt;0,F25/G25,"-"),"-")</f>
        <v/>
      </c>
      <c r="I25" s="74" t="n"/>
      <c r="J25" s="74">
        <f>IFERROR(IF(I25&gt;0,H25/I25,"-"),"-")</f>
        <v/>
      </c>
      <c r="K25" s="75" t="n">
        <v>6</v>
      </c>
      <c r="L25" s="74" t="n">
        <v>13</v>
      </c>
      <c r="M25" s="74">
        <f>IFERROR(IF(L25&gt;0,K25/L25,"-"),"-")</f>
        <v/>
      </c>
      <c r="N25" s="75" t="n">
        <v>4</v>
      </c>
      <c r="O25" s="74" t="n">
        <v>13</v>
      </c>
      <c r="P25" s="74">
        <f>IFERROR(IF(O25&gt;0,N25/O25,"-"),"-")</f>
        <v/>
      </c>
      <c r="Q25" s="75" t="n">
        <v>3</v>
      </c>
      <c r="R25" s="74" t="n"/>
      <c r="S25" s="74">
        <f>IFERROR(IF(R25&gt;0,Q25/R25,"-"),"-")</f>
        <v/>
      </c>
      <c r="T25" s="75" t="n">
        <v>1</v>
      </c>
      <c r="U25" s="74" t="n">
        <v>10</v>
      </c>
      <c r="V25" s="74">
        <f>IFERROR(IF(U25&gt;0,T25/U25,"-"),"-")</f>
        <v/>
      </c>
      <c r="W25" s="75" t="n">
        <v>8</v>
      </c>
      <c r="X25" s="74" t="n">
        <v>22</v>
      </c>
      <c r="Y25" s="74">
        <f>IFERROR(IF(X25&gt;0,W25/X25,"-"),"-")</f>
        <v/>
      </c>
      <c r="Z25" s="75" t="n">
        <v>9</v>
      </c>
      <c r="AA25" s="74" t="n">
        <v>29</v>
      </c>
      <c r="AB25" s="74">
        <f>IFERROR(IF(AA25&gt;0,Z25/AA25,"-"),"-")</f>
        <v/>
      </c>
      <c r="AC25" s="75" t="n">
        <v>5</v>
      </c>
      <c r="AD25" s="74" t="n"/>
      <c r="AE25" s="74">
        <f>IFERROR(IF(AD25&gt;0,AC25/AD25,"-"),"-")</f>
        <v/>
      </c>
      <c r="AF25" s="75" t="n"/>
      <c r="AG25" s="74" t="n"/>
      <c r="AH25" s="74">
        <f>IFERROR(IF(AG25&gt;0,AF25/AG25,"-"),"-")</f>
        <v/>
      </c>
      <c r="AI25" s="75" t="n">
        <v>4</v>
      </c>
      <c r="AJ25" s="74" t="n">
        <v>33</v>
      </c>
      <c r="AK25" s="74">
        <f>IFERROR(IF(AJ25&gt;0,AI25/AJ25,"-"),"-")</f>
        <v/>
      </c>
      <c r="AL25" s="75" t="n">
        <v>3</v>
      </c>
      <c r="AM25" s="74" t="n"/>
      <c r="AN25" s="74">
        <f>IFERROR(IF(AM25&gt;0,AL25/AM25,"-"),"-")</f>
        <v/>
      </c>
      <c r="AO25" s="75" t="n">
        <v>5</v>
      </c>
      <c r="AP25" s="74" t="n">
        <v>18</v>
      </c>
      <c r="AQ25" s="74">
        <f>IFERROR(IF(AP25&gt;0,AO25/AP25,"-"),"-")</f>
        <v/>
      </c>
      <c r="AR25" s="75" t="n">
        <v>9</v>
      </c>
      <c r="AS25" s="60" t="n"/>
      <c r="AT25" s="60" t="n"/>
    </row>
    <row r="26" ht="15" customHeight="1">
      <c r="A26" s="70" t="n">
        <v>19</v>
      </c>
      <c r="B26" s="71" t="inlineStr">
        <is>
          <t>Bel Collections</t>
        </is>
      </c>
      <c r="C26" s="70" t="inlineStr">
        <is>
          <t>B00017</t>
        </is>
      </c>
      <c r="D26" s="71" t="inlineStr">
        <is>
          <t>Thekrayat</t>
        </is>
      </c>
      <c r="E26" s="70" t="n">
        <v>7</v>
      </c>
      <c r="F26" s="72">
        <f>SUM(I26:AP26)</f>
        <v/>
      </c>
      <c r="G26" s="72">
        <f>SUM(J26:AQ26)</f>
        <v/>
      </c>
      <c r="H26" s="73">
        <f>IFERROR(IF(G26&gt;0,F26/G26,"-"),"-")</f>
        <v/>
      </c>
      <c r="I26" s="74" t="n"/>
      <c r="J26" s="74">
        <f>IFERROR(IF(I26&gt;0,H26/I26,"-"),"-")</f>
        <v/>
      </c>
      <c r="K26" s="75" t="n">
        <v>8</v>
      </c>
      <c r="L26" s="74" t="n">
        <v>48</v>
      </c>
      <c r="M26" s="74">
        <f>IFERROR(IF(L26&gt;0,K26/L26,"-"),"-")</f>
        <v/>
      </c>
      <c r="N26" s="75" t="n">
        <v>7</v>
      </c>
      <c r="O26" s="74" t="n">
        <v>52</v>
      </c>
      <c r="P26" s="74">
        <f>IFERROR(IF(O26&gt;0,N26/O26,"-"),"-")</f>
        <v/>
      </c>
      <c r="Q26" s="75" t="n">
        <v>5</v>
      </c>
      <c r="R26" s="74" t="n"/>
      <c r="S26" s="74">
        <f>IFERROR(IF(R26&gt;0,Q26/R26,"-"),"-")</f>
        <v/>
      </c>
      <c r="T26" s="75" t="n">
        <v>3</v>
      </c>
      <c r="U26" s="74" t="n">
        <v>14</v>
      </c>
      <c r="V26" s="74">
        <f>IFERROR(IF(U26&gt;0,T26/U26,"-"),"-")</f>
        <v/>
      </c>
      <c r="W26" s="75" t="n">
        <v>11</v>
      </c>
      <c r="X26" s="74" t="n">
        <v>46</v>
      </c>
      <c r="Y26" s="74">
        <f>IFERROR(IF(X26&gt;0,W26/X26,"-"),"-")</f>
        <v/>
      </c>
      <c r="Z26" s="75" t="n">
        <v>14</v>
      </c>
      <c r="AA26" s="74" t="n">
        <v>85</v>
      </c>
      <c r="AB26" s="74">
        <f>IFERROR(IF(AA26&gt;0,Z26/AA26,"-"),"-")</f>
        <v/>
      </c>
      <c r="AC26" s="75" t="n">
        <v>13</v>
      </c>
      <c r="AD26" s="74" t="n"/>
      <c r="AE26" s="74">
        <f>IFERROR(IF(AD26&gt;0,AC26/AD26,"-"),"-")</f>
        <v/>
      </c>
      <c r="AF26" s="75" t="n"/>
      <c r="AG26" s="74" t="n"/>
      <c r="AH26" s="74">
        <f>IFERROR(IF(AG26&gt;0,AF26/AG26,"-"),"-")</f>
        <v/>
      </c>
      <c r="AI26" s="75" t="n">
        <v>10</v>
      </c>
      <c r="AJ26" s="74" t="n">
        <v>90</v>
      </c>
      <c r="AK26" s="74">
        <f>IFERROR(IF(AJ26&gt;0,AI26/AJ26,"-"),"-")</f>
        <v/>
      </c>
      <c r="AL26" s="75" t="n">
        <v>5</v>
      </c>
      <c r="AM26" s="74" t="n"/>
      <c r="AN26" s="74">
        <f>IFERROR(IF(AM26&gt;0,AL26/AM26,"-"),"-")</f>
        <v/>
      </c>
      <c r="AO26" s="75" t="n">
        <v>7</v>
      </c>
      <c r="AP26" s="74" t="n">
        <v>93</v>
      </c>
      <c r="AQ26" s="74">
        <f>IFERROR(IF(AP26&gt;0,AO26/AP26,"-"),"-")</f>
        <v/>
      </c>
      <c r="AR26" s="75" t="n">
        <v>12</v>
      </c>
      <c r="AS26" s="60" t="n"/>
      <c r="AT26" s="60" t="n"/>
    </row>
    <row r="27" ht="15" customHeight="1">
      <c r="A27" s="70" t="n">
        <v>20</v>
      </c>
      <c r="B27" s="71" t="inlineStr">
        <is>
          <t>Bel Collections</t>
        </is>
      </c>
      <c r="C27" s="70" t="inlineStr">
        <is>
          <t>B00018</t>
        </is>
      </c>
      <c r="D27" s="71" t="inlineStr">
        <is>
          <t>Hidden Tobacco</t>
        </is>
      </c>
      <c r="E27" s="70" t="n"/>
      <c r="F27" s="72">
        <f>SUM(I27:AP27)</f>
        <v/>
      </c>
      <c r="G27" s="72">
        <f>SUM(J27:AQ27)</f>
        <v/>
      </c>
      <c r="H27" s="73">
        <f>IFERROR(IF(G27&gt;0,F27/G27,"-"),"-")</f>
        <v/>
      </c>
      <c r="I27" s="74" t="n"/>
      <c r="J27" s="74">
        <f>IFERROR(IF(I27&gt;0,H27/I27,"-"),"-")</f>
        <v/>
      </c>
      <c r="K27" s="75" t="n"/>
      <c r="L27" s="74" t="n"/>
      <c r="M27" s="74">
        <f>IFERROR(IF(L27&gt;0,K27/L27,"-"),"-")</f>
        <v/>
      </c>
      <c r="N27" s="75" t="n"/>
      <c r="O27" s="74" t="n"/>
      <c r="P27" s="74">
        <f>IFERROR(IF(O27&gt;0,N27/O27,"-"),"-")</f>
        <v/>
      </c>
      <c r="Q27" s="75" t="n"/>
      <c r="R27" s="74" t="n"/>
      <c r="S27" s="74">
        <f>IFERROR(IF(R27&gt;0,Q27/R27,"-"),"-")</f>
        <v/>
      </c>
      <c r="T27" s="75" t="n"/>
      <c r="U27" s="74" t="n"/>
      <c r="V27" s="74">
        <f>IFERROR(IF(U27&gt;0,T27/U27,"-"),"-")</f>
        <v/>
      </c>
      <c r="W27" s="75" t="n">
        <v>1</v>
      </c>
      <c r="X27" s="74" t="n"/>
      <c r="Y27" s="74">
        <f>IFERROR(IF(X27&gt;0,W27/X27,"-"),"-")</f>
        <v/>
      </c>
      <c r="Z27" s="75" t="n"/>
      <c r="AA27" s="74" t="n"/>
      <c r="AB27" s="74">
        <f>IFERROR(IF(AA27&gt;0,Z27/AA27,"-"),"-")</f>
        <v/>
      </c>
      <c r="AC27" s="75" t="n"/>
      <c r="AD27" s="74" t="n"/>
      <c r="AE27" s="74">
        <f>IFERROR(IF(AD27&gt;0,AC27/AD27,"-"),"-")</f>
        <v/>
      </c>
      <c r="AF27" s="75" t="n"/>
      <c r="AG27" s="74" t="n"/>
      <c r="AH27" s="74">
        <f>IFERROR(IF(AG27&gt;0,AF27/AG27,"-"),"-")</f>
        <v/>
      </c>
      <c r="AI27" s="75" t="n">
        <v>1</v>
      </c>
      <c r="AJ27" s="74" t="n"/>
      <c r="AK27" s="74">
        <f>IFERROR(IF(AJ27&gt;0,AI27/AJ27,"-"),"-")</f>
        <v/>
      </c>
      <c r="AL27" s="75" t="n"/>
      <c r="AM27" s="74" t="n"/>
      <c r="AN27" s="74">
        <f>IFERROR(IF(AM27&gt;0,AL27/AM27,"-"),"-")</f>
        <v/>
      </c>
      <c r="AO27" s="75" t="n"/>
      <c r="AP27" s="74" t="n"/>
      <c r="AQ27" s="74">
        <f>IFERROR(IF(AP27&gt;0,AO27/AP27,"-"),"-")</f>
        <v/>
      </c>
      <c r="AR27" s="75" t="n"/>
      <c r="AS27" s="60" t="n"/>
      <c r="AT27" s="60" t="n"/>
    </row>
    <row r="28" ht="15" customHeight="1">
      <c r="A28" s="70" t="n">
        <v>21</v>
      </c>
      <c r="B28" s="71" t="inlineStr">
        <is>
          <t>Bel Collections</t>
        </is>
      </c>
      <c r="C28" s="70" t="inlineStr">
        <is>
          <t>B00019</t>
        </is>
      </c>
      <c r="D28" s="71" t="inlineStr">
        <is>
          <t>Masters Perfume 100ml</t>
        </is>
      </c>
      <c r="E28" s="70" t="n"/>
      <c r="F28" s="72">
        <f>SUM(I28:AP28)</f>
        <v/>
      </c>
      <c r="G28" s="72">
        <f>SUM(J28:AQ28)</f>
        <v/>
      </c>
      <c r="H28" s="73">
        <f>IFERROR(IF(G28&gt;0,F28/G28,"-"),"-")</f>
        <v/>
      </c>
      <c r="I28" s="74" t="n">
        <v>23</v>
      </c>
      <c r="J28" s="74">
        <f>IFERROR(IF(I28&gt;0,H28/I28,"-"),"-")</f>
        <v/>
      </c>
      <c r="K28" s="75" t="n"/>
      <c r="L28" s="74" t="n">
        <v>94</v>
      </c>
      <c r="M28" s="74">
        <f>IFERROR(IF(L28&gt;0,K28/L28,"-"),"-")</f>
        <v/>
      </c>
      <c r="N28" s="75" t="n"/>
      <c r="O28" s="74" t="n">
        <v>15</v>
      </c>
      <c r="P28" s="74">
        <f>IFERROR(IF(O28&gt;0,N28/O28,"-"),"-")</f>
        <v/>
      </c>
      <c r="Q28" s="75" t="n"/>
      <c r="R28" s="74" t="n">
        <v>27</v>
      </c>
      <c r="S28" s="74">
        <f>IFERROR(IF(R28&gt;0,Q28/R28,"-"),"-")</f>
        <v/>
      </c>
      <c r="T28" s="75" t="n"/>
      <c r="U28" s="74" t="n">
        <v>25</v>
      </c>
      <c r="V28" s="74">
        <f>IFERROR(IF(U28&gt;0,T28/U28,"-"),"-")</f>
        <v/>
      </c>
      <c r="W28" s="75" t="n"/>
      <c r="X28" s="74" t="n">
        <v>28</v>
      </c>
      <c r="Y28" s="74">
        <f>IFERROR(IF(X28&gt;0,W28/X28,"-"),"-")</f>
        <v/>
      </c>
      <c r="Z28" s="75" t="n"/>
      <c r="AA28" s="74" t="n">
        <v>26</v>
      </c>
      <c r="AB28" s="74">
        <f>IFERROR(IF(AA28&gt;0,Z28/AA28,"-"),"-")</f>
        <v/>
      </c>
      <c r="AC28" s="75" t="n"/>
      <c r="AD28" s="74" t="n">
        <v>19</v>
      </c>
      <c r="AE28" s="74">
        <f>IFERROR(IF(AD28&gt;0,AC28/AD28,"-"),"-")</f>
        <v/>
      </c>
      <c r="AF28" s="75" t="n"/>
      <c r="AG28" s="74" t="n"/>
      <c r="AH28" s="74">
        <f>IFERROR(IF(AG28&gt;0,AF28/AG28,"-"),"-")</f>
        <v/>
      </c>
      <c r="AI28" s="75" t="n"/>
      <c r="AJ28" s="74" t="n">
        <v>27</v>
      </c>
      <c r="AK28" s="74">
        <f>IFERROR(IF(AJ28&gt;0,AI28/AJ28,"-"),"-")</f>
        <v/>
      </c>
      <c r="AL28" s="75" t="n"/>
      <c r="AM28" s="74" t="n">
        <v>14</v>
      </c>
      <c r="AN28" s="74">
        <f>IFERROR(IF(AM28&gt;0,AL28/AM28,"-"),"-")</f>
        <v/>
      </c>
      <c r="AO28" s="75" t="n"/>
      <c r="AP28" s="74" t="n">
        <v>34</v>
      </c>
      <c r="AQ28" s="74">
        <f>IFERROR(IF(AP28&gt;0,AO28/AP28,"-"),"-")</f>
        <v/>
      </c>
      <c r="AR28" s="75" t="n"/>
      <c r="AS28" s="60" t="n"/>
      <c r="AT28" s="60" t="n"/>
    </row>
    <row r="29" ht="15" customHeight="1">
      <c r="A29" s="70" t="n">
        <v>22</v>
      </c>
      <c r="B29" s="71" t="inlineStr">
        <is>
          <t>Bel Collections</t>
        </is>
      </c>
      <c r="C29" s="70" t="inlineStr">
        <is>
          <t>B00020</t>
        </is>
      </c>
      <c r="D29" s="71" t="inlineStr">
        <is>
          <t>Masters Signature 100ml Perfume - Tester</t>
        </is>
      </c>
      <c r="E29" s="70" t="n">
        <v>1</v>
      </c>
      <c r="F29" s="72">
        <f>SUM(I29:AP29)</f>
        <v/>
      </c>
      <c r="G29" s="72">
        <f>SUM(J29:AQ29)</f>
        <v/>
      </c>
      <c r="H29" s="73">
        <f>IFERROR(IF(G29&gt;0,F29/G29,"-"),"-")</f>
        <v/>
      </c>
      <c r="I29" s="74" t="n">
        <v>7</v>
      </c>
      <c r="J29" s="74">
        <f>IFERROR(IF(I29&gt;0,H29/I29,"-"),"-")</f>
        <v/>
      </c>
      <c r="K29" s="75" t="n">
        <v>2</v>
      </c>
      <c r="L29" s="74" t="n">
        <v>56</v>
      </c>
      <c r="M29" s="74">
        <f>IFERROR(IF(L29&gt;0,K29/L29,"-"),"-")</f>
        <v/>
      </c>
      <c r="N29" s="75" t="n">
        <v>1</v>
      </c>
      <c r="O29" s="74" t="n">
        <v>5</v>
      </c>
      <c r="P29" s="74">
        <f>IFERROR(IF(O29&gt;0,N29/O29,"-"),"-")</f>
        <v/>
      </c>
      <c r="Q29" s="75" t="n">
        <v>2</v>
      </c>
      <c r="R29" s="74" t="n">
        <v>7</v>
      </c>
      <c r="S29" s="74">
        <f>IFERROR(IF(R29&gt;0,Q29/R29,"-"),"-")</f>
        <v/>
      </c>
      <c r="T29" s="75" t="n"/>
      <c r="U29" s="74" t="n">
        <v>2</v>
      </c>
      <c r="V29" s="74">
        <f>IFERROR(IF(U29&gt;0,T29/U29,"-"),"-")</f>
        <v/>
      </c>
      <c r="W29" s="75" t="n">
        <v>1</v>
      </c>
      <c r="X29" s="74" t="n">
        <v>3</v>
      </c>
      <c r="Y29" s="74">
        <f>IFERROR(IF(X29&gt;0,W29/X29,"-"),"-")</f>
        <v/>
      </c>
      <c r="Z29" s="75" t="n">
        <v>2</v>
      </c>
      <c r="AA29" s="74" t="n">
        <v>13</v>
      </c>
      <c r="AB29" s="74">
        <f>IFERROR(IF(AA29&gt;0,Z29/AA29,"-"),"-")</f>
        <v/>
      </c>
      <c r="AC29" s="75" t="n">
        <v>1</v>
      </c>
      <c r="AD29" s="74" t="n">
        <v>11</v>
      </c>
      <c r="AE29" s="74">
        <f>IFERROR(IF(AD29&gt;0,AC29/AD29,"-"),"-")</f>
        <v/>
      </c>
      <c r="AF29" s="75" t="n"/>
      <c r="AG29" s="74" t="n"/>
      <c r="AH29" s="74">
        <f>IFERROR(IF(AG29&gt;0,AF29/AG29,"-"),"-")</f>
        <v/>
      </c>
      <c r="AI29" s="75" t="n">
        <v>1</v>
      </c>
      <c r="AJ29" s="74" t="n">
        <v>7</v>
      </c>
      <c r="AK29" s="74">
        <f>IFERROR(IF(AJ29&gt;0,AI29/AJ29,"-"),"-")</f>
        <v/>
      </c>
      <c r="AL29" s="75" t="n">
        <v>1</v>
      </c>
      <c r="AM29" s="74" t="n">
        <v>13</v>
      </c>
      <c r="AN29" s="74">
        <f>IFERROR(IF(AM29&gt;0,AL29/AM29,"-"),"-")</f>
        <v/>
      </c>
      <c r="AO29" s="75" t="n">
        <v>2</v>
      </c>
      <c r="AP29" s="74" t="n">
        <v>18</v>
      </c>
      <c r="AQ29" s="74">
        <f>IFERROR(IF(AP29&gt;0,AO29/AP29,"-"),"-")</f>
        <v/>
      </c>
      <c r="AR29" s="75" t="n">
        <v>3</v>
      </c>
      <c r="AS29" s="60" t="n"/>
      <c r="AT29" s="60" t="n"/>
    </row>
    <row r="30" ht="15" customHeight="1">
      <c r="A30" s="70" t="n">
        <v>23</v>
      </c>
      <c r="B30" s="71" t="inlineStr">
        <is>
          <t>Bel Collections</t>
        </is>
      </c>
      <c r="C30" s="70" t="inlineStr">
        <is>
          <t>B00021</t>
        </is>
      </c>
      <c r="D30" s="71" t="inlineStr">
        <is>
          <t>Midnight Bloom 100 ML</t>
        </is>
      </c>
      <c r="E30" s="70" t="n">
        <v>2</v>
      </c>
      <c r="F30" s="72">
        <f>SUM(I30:AP30)</f>
        <v/>
      </c>
      <c r="G30" s="72">
        <f>SUM(J30:AQ30)</f>
        <v/>
      </c>
      <c r="H30" s="73">
        <f>IFERROR(IF(G30&gt;0,F30/G30,"-"),"-")</f>
        <v/>
      </c>
      <c r="I30" s="74" t="n">
        <v>1</v>
      </c>
      <c r="J30" s="74">
        <f>IFERROR(IF(I30&gt;0,H30/I30,"-"),"-")</f>
        <v/>
      </c>
      <c r="K30" s="75" t="n"/>
      <c r="L30" s="74" t="n"/>
      <c r="M30" s="74">
        <f>IFERROR(IF(L30&gt;0,K30/L30,"-"),"-")</f>
        <v/>
      </c>
      <c r="N30" s="75" t="n">
        <v>2</v>
      </c>
      <c r="O30" s="74" t="n"/>
      <c r="P30" s="74">
        <f>IFERROR(IF(O30&gt;0,N30/O30,"-"),"-")</f>
        <v/>
      </c>
      <c r="Q30" s="75" t="n">
        <v>1</v>
      </c>
      <c r="R30" s="74" t="n">
        <v>6</v>
      </c>
      <c r="S30" s="74">
        <f>IFERROR(IF(R30&gt;0,Q30/R30,"-"),"-")</f>
        <v/>
      </c>
      <c r="T30" s="75" t="n"/>
      <c r="U30" s="74" t="n">
        <v>1</v>
      </c>
      <c r="V30" s="74">
        <f>IFERROR(IF(U30&gt;0,T30/U30,"-"),"-")</f>
        <v/>
      </c>
      <c r="W30" s="75" t="n">
        <v>1</v>
      </c>
      <c r="X30" s="74" t="n">
        <v>3</v>
      </c>
      <c r="Y30" s="74">
        <f>IFERROR(IF(X30&gt;0,W30/X30,"-"),"-")</f>
        <v/>
      </c>
      <c r="Z30" s="75" t="n">
        <v>2</v>
      </c>
      <c r="AA30" s="74" t="n">
        <v>6</v>
      </c>
      <c r="AB30" s="74">
        <f>IFERROR(IF(AA30&gt;0,Z30/AA30,"-"),"-")</f>
        <v/>
      </c>
      <c r="AC30" s="75" t="n">
        <v>1</v>
      </c>
      <c r="AD30" s="74" t="n">
        <v>6</v>
      </c>
      <c r="AE30" s="74">
        <f>IFERROR(IF(AD30&gt;0,AC30/AD30,"-"),"-")</f>
        <v/>
      </c>
      <c r="AF30" s="75" t="n"/>
      <c r="AG30" s="74" t="n"/>
      <c r="AH30" s="74">
        <f>IFERROR(IF(AG30&gt;0,AF30/AG30,"-"),"-")</f>
        <v/>
      </c>
      <c r="AI30" s="75" t="n">
        <v>1</v>
      </c>
      <c r="AJ30" s="74" t="n">
        <v>4</v>
      </c>
      <c r="AK30" s="74">
        <f>IFERROR(IF(AJ30&gt;0,AI30/AJ30,"-"),"-")</f>
        <v/>
      </c>
      <c r="AL30" s="75" t="n">
        <v>1</v>
      </c>
      <c r="AM30" s="74" t="n">
        <v>4</v>
      </c>
      <c r="AN30" s="74">
        <f>IFERROR(IF(AM30&gt;0,AL30/AM30,"-"),"-")</f>
        <v/>
      </c>
      <c r="AO30" s="75" t="n">
        <v>2</v>
      </c>
      <c r="AP30" s="74" t="n">
        <v>10</v>
      </c>
      <c r="AQ30" s="74">
        <f>IFERROR(IF(AP30&gt;0,AO30/AP30,"-"),"-")</f>
        <v/>
      </c>
      <c r="AR30" s="75" t="n">
        <v>1</v>
      </c>
      <c r="AS30" s="60" t="n"/>
      <c r="AT30" s="60" t="n"/>
    </row>
    <row r="31" ht="15" customHeight="1">
      <c r="A31" s="76" t="inlineStr">
        <is>
          <t xml:space="preserve">  CABALLO COLLECTION</t>
        </is>
      </c>
      <c r="B31" s="77" t="n"/>
      <c r="C31" s="77" t="n"/>
      <c r="D31" s="77" t="n"/>
      <c r="E31" s="77" t="n">
        <v>1</v>
      </c>
      <c r="F31" s="72">
        <f>SUM(I31:AP31)</f>
        <v/>
      </c>
      <c r="G31" s="72">
        <f>SUM(J31:AQ31)</f>
        <v/>
      </c>
      <c r="H31" s="73">
        <f>IFERROR(IF(G31&gt;0,F31/G31,"-"),"-")</f>
        <v/>
      </c>
      <c r="I31" s="74" t="n"/>
      <c r="J31" s="74">
        <f>IFERROR(IF(I31&gt;0,H31/I31,"-"),"-")</f>
        <v/>
      </c>
      <c r="K31" s="75" t="n"/>
      <c r="L31" s="74" t="n"/>
      <c r="M31" s="74">
        <f>IFERROR(IF(L31&gt;0,K31/L31,"-"),"-")</f>
        <v/>
      </c>
      <c r="N31" s="75" t="n"/>
      <c r="O31" s="74" t="n">
        <v>2</v>
      </c>
      <c r="P31" s="74">
        <f>IFERROR(IF(O31&gt;0,N31/O31,"-"),"-")</f>
        <v/>
      </c>
      <c r="Q31" s="75" t="n"/>
      <c r="R31" s="74" t="n"/>
      <c r="S31" s="74">
        <f>IFERROR(IF(R31&gt;0,Q31/R31,"-"),"-")</f>
        <v/>
      </c>
      <c r="T31" s="75" t="n"/>
      <c r="U31" s="74" t="n">
        <v>4</v>
      </c>
      <c r="V31" s="74">
        <f>IFERROR(IF(U31&gt;0,T31/U31,"-"),"-")</f>
        <v/>
      </c>
      <c r="W31" s="75" t="n"/>
      <c r="X31" s="74" t="n"/>
      <c r="Y31" s="74">
        <f>IFERROR(IF(X31&gt;0,W31/X31,"-"),"-")</f>
        <v/>
      </c>
      <c r="Z31" s="75" t="n"/>
      <c r="AA31" s="74" t="n">
        <v>1</v>
      </c>
      <c r="AB31" s="74">
        <f>IFERROR(IF(AA31&gt;0,Z31/AA31,"-"),"-")</f>
        <v/>
      </c>
      <c r="AC31" s="75" t="n"/>
      <c r="AD31" s="74" t="n"/>
      <c r="AE31" s="74">
        <f>IFERROR(IF(AD31&gt;0,AC31/AD31,"-"),"-")</f>
        <v/>
      </c>
      <c r="AF31" s="75" t="n"/>
      <c r="AG31" s="74" t="n"/>
      <c r="AH31" s="74">
        <f>IFERROR(IF(AG31&gt;0,AF31/AG31,"-"),"-")</f>
        <v/>
      </c>
      <c r="AI31" s="75" t="n"/>
      <c r="AJ31" s="74" t="n">
        <v>1</v>
      </c>
      <c r="AK31" s="74">
        <f>IFERROR(IF(AJ31&gt;0,AI31/AJ31,"-"),"-")</f>
        <v/>
      </c>
      <c r="AL31" s="75" t="n">
        <v>1</v>
      </c>
      <c r="AM31" s="74" t="n">
        <v>1</v>
      </c>
      <c r="AN31" s="74">
        <f>IFERROR(IF(AM31&gt;0,AL31/AM31,"-"),"-")</f>
        <v/>
      </c>
      <c r="AO31" s="75" t="n">
        <v>2</v>
      </c>
      <c r="AP31" s="74" t="n">
        <v>3</v>
      </c>
      <c r="AQ31" s="74">
        <f>IFERROR(IF(AP31&gt;0,AO31/AP31,"-"),"-")</f>
        <v/>
      </c>
      <c r="AR31" s="75" t="n"/>
      <c r="AS31" s="59" t="n"/>
      <c r="AT31" s="59" t="n"/>
    </row>
    <row r="32" ht="15" customHeight="1">
      <c r="A32" s="70" t="n">
        <v>24</v>
      </c>
      <c r="B32" s="71" t="inlineStr">
        <is>
          <t>Caballo Collection</t>
        </is>
      </c>
      <c r="C32" s="70" t="inlineStr">
        <is>
          <t>C00004</t>
        </is>
      </c>
      <c r="D32" s="71" t="inlineStr">
        <is>
          <t>Maroon Perfume 100 ML</t>
        </is>
      </c>
      <c r="E32" s="70" t="n">
        <v>1</v>
      </c>
      <c r="F32" s="72">
        <f>SUM(I32:AP32)</f>
        <v/>
      </c>
      <c r="G32" s="72">
        <f>SUM(J32:AQ32)</f>
        <v/>
      </c>
      <c r="H32" s="73">
        <f>IFERROR(IF(G32&gt;0,F32/G32,"-"),"-")</f>
        <v/>
      </c>
      <c r="I32" s="74" t="n"/>
      <c r="J32" s="74">
        <f>IFERROR(IF(I32&gt;0,H32/I32,"-"),"-")</f>
        <v/>
      </c>
      <c r="K32" s="75" t="n"/>
      <c r="L32" s="74" t="n"/>
      <c r="M32" s="74">
        <f>IFERROR(IF(L32&gt;0,K32/L32,"-"),"-")</f>
        <v/>
      </c>
      <c r="N32" s="75" t="n">
        <v>1</v>
      </c>
      <c r="O32" s="74" t="n"/>
      <c r="P32" s="74">
        <f>IFERROR(IF(O32&gt;0,N32/O32,"-"),"-")</f>
        <v/>
      </c>
      <c r="Q32" s="75" t="n">
        <v>1</v>
      </c>
      <c r="R32" s="74" t="n"/>
      <c r="S32" s="74">
        <f>IFERROR(IF(R32&gt;0,Q32/R32,"-"),"-")</f>
        <v/>
      </c>
      <c r="T32" s="75" t="n"/>
      <c r="U32" s="74" t="n"/>
      <c r="V32" s="74">
        <f>IFERROR(IF(U32&gt;0,T32/U32,"-"),"-")</f>
        <v/>
      </c>
      <c r="W32" s="75" t="n"/>
      <c r="X32" s="74" t="n"/>
      <c r="Y32" s="74">
        <f>IFERROR(IF(X32&gt;0,W32/X32,"-"),"-")</f>
        <v/>
      </c>
      <c r="Z32" s="75" t="n">
        <v>1</v>
      </c>
      <c r="AA32" s="74" t="n"/>
      <c r="AB32" s="74">
        <f>IFERROR(IF(AA32&gt;0,Z32/AA32,"-"),"-")</f>
        <v/>
      </c>
      <c r="AC32" s="75" t="n">
        <v>3</v>
      </c>
      <c r="AD32" s="74" t="n"/>
      <c r="AE32" s="74">
        <f>IFERROR(IF(AD32&gt;0,AC32/AD32,"-"),"-")</f>
        <v/>
      </c>
      <c r="AF32" s="75" t="n"/>
      <c r="AG32" s="74" t="n"/>
      <c r="AH32" s="74">
        <f>IFERROR(IF(AG32&gt;0,AF32/AG32,"-"),"-")</f>
        <v/>
      </c>
      <c r="AI32" s="75" t="n">
        <v>3</v>
      </c>
      <c r="AJ32" s="74" t="n"/>
      <c r="AK32" s="74">
        <f>IFERROR(IF(AJ32&gt;0,AI32/AJ32,"-"),"-")</f>
        <v/>
      </c>
      <c r="AL32" s="75" t="n">
        <v>1</v>
      </c>
      <c r="AM32" s="74" t="n"/>
      <c r="AN32" s="74">
        <f>IFERROR(IF(AM32&gt;0,AL32/AM32,"-"),"-")</f>
        <v/>
      </c>
      <c r="AO32" s="75" t="n">
        <v>2</v>
      </c>
      <c r="AP32" s="74" t="n"/>
      <c r="AQ32" s="74">
        <f>IFERROR(IF(AP32&gt;0,AO32/AP32,"-"),"-")</f>
        <v/>
      </c>
      <c r="AR32" s="75" t="n">
        <v>1</v>
      </c>
      <c r="AS32" s="60" t="n"/>
      <c r="AT32" s="60" t="n"/>
    </row>
    <row r="33" ht="15" customHeight="1">
      <c r="A33" s="70" t="n">
        <v>25</v>
      </c>
      <c r="B33" s="71" t="inlineStr">
        <is>
          <t>Caballo Collection</t>
        </is>
      </c>
      <c r="C33" s="70" t="inlineStr">
        <is>
          <t>C00010</t>
        </is>
      </c>
      <c r="D33" s="71" t="inlineStr">
        <is>
          <t>Maroon Intense</t>
        </is>
      </c>
      <c r="E33" s="70" t="n">
        <v>2</v>
      </c>
      <c r="F33" s="72">
        <f>SUM(I33:AP33)</f>
        <v/>
      </c>
      <c r="G33" s="72">
        <f>SUM(J33:AQ33)</f>
        <v/>
      </c>
      <c r="H33" s="73">
        <f>IFERROR(IF(G33&gt;0,F33/G33,"-"),"-")</f>
        <v/>
      </c>
      <c r="I33" s="74" t="n">
        <v>3</v>
      </c>
      <c r="J33" s="74">
        <f>IFERROR(IF(I33&gt;0,H33/I33,"-"),"-")</f>
        <v/>
      </c>
      <c r="K33" s="75" t="n">
        <v>3</v>
      </c>
      <c r="L33" s="74" t="n">
        <v>3</v>
      </c>
      <c r="M33" s="74">
        <f>IFERROR(IF(L33&gt;0,K33/L33,"-"),"-")</f>
        <v/>
      </c>
      <c r="N33" s="75" t="n">
        <v>2</v>
      </c>
      <c r="O33" s="74" t="n">
        <v>1</v>
      </c>
      <c r="P33" s="74">
        <f>IFERROR(IF(O33&gt;0,N33/O33,"-"),"-")</f>
        <v/>
      </c>
      <c r="Q33" s="75" t="n">
        <v>4</v>
      </c>
      <c r="R33" s="74" t="n">
        <v>10</v>
      </c>
      <c r="S33" s="74">
        <f>IFERROR(IF(R33&gt;0,Q33/R33,"-"),"-")</f>
        <v/>
      </c>
      <c r="T33" s="75" t="n">
        <v>1</v>
      </c>
      <c r="U33" s="74" t="n">
        <v>1</v>
      </c>
      <c r="V33" s="74">
        <f>IFERROR(IF(U33&gt;0,T33/U33,"-"),"-")</f>
        <v/>
      </c>
      <c r="W33" s="75" t="n">
        <v>5</v>
      </c>
      <c r="X33" s="74" t="n">
        <v>1</v>
      </c>
      <c r="Y33" s="74">
        <f>IFERROR(IF(X33&gt;0,W33/X33,"-"),"-")</f>
        <v/>
      </c>
      <c r="Z33" s="75" t="n">
        <v>2</v>
      </c>
      <c r="AA33" s="74" t="n">
        <v>8</v>
      </c>
      <c r="AB33" s="74">
        <f>IFERROR(IF(AA33&gt;0,Z33/AA33,"-"),"-")</f>
        <v/>
      </c>
      <c r="AC33" s="75" t="n">
        <v>2</v>
      </c>
      <c r="AD33" s="74" t="n">
        <v>3</v>
      </c>
      <c r="AE33" s="74">
        <f>IFERROR(IF(AD33&gt;0,AC33/AD33,"-"),"-")</f>
        <v/>
      </c>
      <c r="AF33" s="75" t="n"/>
      <c r="AG33" s="74" t="n"/>
      <c r="AH33" s="74">
        <f>IFERROR(IF(AG33&gt;0,AF33/AG33,"-"),"-")</f>
        <v/>
      </c>
      <c r="AI33" s="75" t="n">
        <v>2</v>
      </c>
      <c r="AJ33" s="74" t="n">
        <v>6</v>
      </c>
      <c r="AK33" s="74">
        <f>IFERROR(IF(AJ33&gt;0,AI33/AJ33,"-"),"-")</f>
        <v/>
      </c>
      <c r="AL33" s="75" t="n">
        <v>2</v>
      </c>
      <c r="AM33" s="74" t="n">
        <v>5</v>
      </c>
      <c r="AN33" s="74">
        <f>IFERROR(IF(AM33&gt;0,AL33/AM33,"-"),"-")</f>
        <v/>
      </c>
      <c r="AO33" s="75" t="n">
        <v>1</v>
      </c>
      <c r="AP33" s="74" t="n">
        <v>4</v>
      </c>
      <c r="AQ33" s="74">
        <f>IFERROR(IF(AP33&gt;0,AO33/AP33,"-"),"-")</f>
        <v/>
      </c>
      <c r="AR33" s="75" t="n">
        <v>3</v>
      </c>
      <c r="AS33" s="60" t="n"/>
      <c r="AT33" s="60" t="n"/>
    </row>
    <row r="34" ht="15" customHeight="1">
      <c r="A34" s="70" t="n">
        <v>26</v>
      </c>
      <c r="B34" s="71" t="inlineStr">
        <is>
          <t>Caballo Collection</t>
        </is>
      </c>
      <c r="C34" s="70" t="inlineStr">
        <is>
          <t>C00011</t>
        </is>
      </c>
      <c r="D34" s="71" t="inlineStr">
        <is>
          <t>Violet Perfume 100ml</t>
        </is>
      </c>
      <c r="E34" s="70" t="n"/>
      <c r="F34" s="72">
        <f>SUM(I34:AP34)</f>
        <v/>
      </c>
      <c r="G34" s="72">
        <f>SUM(J34:AQ34)</f>
        <v/>
      </c>
      <c r="H34" s="73">
        <f>IFERROR(IF(G34&gt;0,F34/G34,"-"),"-")</f>
        <v/>
      </c>
      <c r="I34" s="74" t="n"/>
      <c r="J34" s="74">
        <f>IFERROR(IF(I34&gt;0,H34/I34,"-"),"-")</f>
        <v/>
      </c>
      <c r="K34" s="75" t="n"/>
      <c r="L34" s="74" t="n"/>
      <c r="M34" s="74">
        <f>IFERROR(IF(L34&gt;0,K34/L34,"-"),"-")</f>
        <v/>
      </c>
      <c r="N34" s="75" t="n"/>
      <c r="O34" s="74" t="n">
        <v>9</v>
      </c>
      <c r="P34" s="74">
        <f>IFERROR(IF(O34&gt;0,N34/O34,"-"),"-")</f>
        <v/>
      </c>
      <c r="Q34" s="75" t="n"/>
      <c r="R34" s="74" t="n"/>
      <c r="S34" s="74">
        <f>IFERROR(IF(R34&gt;0,Q34/R34,"-"),"-")</f>
        <v/>
      </c>
      <c r="T34" s="75" t="n"/>
      <c r="U34" s="74" t="n">
        <v>1</v>
      </c>
      <c r="V34" s="74">
        <f>IFERROR(IF(U34&gt;0,T34/U34,"-"),"-")</f>
        <v/>
      </c>
      <c r="W34" s="75" t="n"/>
      <c r="X34" s="74" t="n"/>
      <c r="Y34" s="74">
        <f>IFERROR(IF(X34&gt;0,W34/X34,"-"),"-")</f>
        <v/>
      </c>
      <c r="Z34" s="75" t="n">
        <v>1</v>
      </c>
      <c r="AA34" s="74" t="n">
        <v>2</v>
      </c>
      <c r="AB34" s="74">
        <f>IFERROR(IF(AA34&gt;0,Z34/AA34,"-"),"-")</f>
        <v/>
      </c>
      <c r="AC34" s="75" t="n"/>
      <c r="AD34" s="74" t="n"/>
      <c r="AE34" s="74">
        <f>IFERROR(IF(AD34&gt;0,AC34/AD34,"-"),"-")</f>
        <v/>
      </c>
      <c r="AF34" s="75" t="n"/>
      <c r="AG34" s="74" t="n"/>
      <c r="AH34" s="74">
        <f>IFERROR(IF(AG34&gt;0,AF34/AG34,"-"),"-")</f>
        <v/>
      </c>
      <c r="AI34" s="75" t="n">
        <v>1</v>
      </c>
      <c r="AJ34" s="74" t="n"/>
      <c r="AK34" s="74">
        <f>IFERROR(IF(AJ34&gt;0,AI34/AJ34,"-"),"-")</f>
        <v/>
      </c>
      <c r="AL34" s="75" t="n"/>
      <c r="AM34" s="74" t="n"/>
      <c r="AN34" s="74">
        <f>IFERROR(IF(AM34&gt;0,AL34/AM34,"-"),"-")</f>
        <v/>
      </c>
      <c r="AO34" s="75" t="n">
        <v>1</v>
      </c>
      <c r="AP34" s="74" t="n"/>
      <c r="AQ34" s="74">
        <f>IFERROR(IF(AP34&gt;0,AO34/AP34,"-"),"-")</f>
        <v/>
      </c>
      <c r="AR34" s="75" t="n">
        <v>1</v>
      </c>
      <c r="AS34" s="60" t="n"/>
      <c r="AT34" s="60" t="n"/>
    </row>
    <row r="35" ht="15" customHeight="1">
      <c r="A35" s="70" t="n">
        <v>27</v>
      </c>
      <c r="B35" s="71" t="inlineStr">
        <is>
          <t>Caballo Collection</t>
        </is>
      </c>
      <c r="C35" s="70" t="inlineStr">
        <is>
          <t>C00012</t>
        </is>
      </c>
      <c r="D35" s="71" t="inlineStr">
        <is>
          <t>Navy Perfume 100ml</t>
        </is>
      </c>
      <c r="E35" s="70" t="n">
        <v>1</v>
      </c>
      <c r="F35" s="72">
        <f>SUM(I35:AP35)</f>
        <v/>
      </c>
      <c r="G35" s="72">
        <f>SUM(J35:AQ35)</f>
        <v/>
      </c>
      <c r="H35" s="73">
        <f>IFERROR(IF(G35&gt;0,F35/G35,"-"),"-")</f>
        <v/>
      </c>
      <c r="I35" s="74" t="n">
        <v>2</v>
      </c>
      <c r="J35" s="74">
        <f>IFERROR(IF(I35&gt;0,H35/I35,"-"),"-")</f>
        <v/>
      </c>
      <c r="K35" s="75" t="n">
        <v>1</v>
      </c>
      <c r="L35" s="74" t="n"/>
      <c r="M35" s="74">
        <f>IFERROR(IF(L35&gt;0,K35/L35,"-"),"-")</f>
        <v/>
      </c>
      <c r="N35" s="75" t="n">
        <v>3</v>
      </c>
      <c r="O35" s="74" t="n"/>
      <c r="P35" s="74">
        <f>IFERROR(IF(O35&gt;0,N35/O35,"-"),"-")</f>
        <v/>
      </c>
      <c r="Q35" s="75" t="n"/>
      <c r="R35" s="74" t="n">
        <v>1</v>
      </c>
      <c r="S35" s="74">
        <f>IFERROR(IF(R35&gt;0,Q35/R35,"-"),"-")</f>
        <v/>
      </c>
      <c r="T35" s="75" t="n">
        <v>1</v>
      </c>
      <c r="U35" s="74" t="n">
        <v>3</v>
      </c>
      <c r="V35" s="74">
        <f>IFERROR(IF(U35&gt;0,T35/U35,"-"),"-")</f>
        <v/>
      </c>
      <c r="W35" s="75" t="n">
        <v>4</v>
      </c>
      <c r="X35" s="74" t="n">
        <v>8</v>
      </c>
      <c r="Y35" s="74">
        <f>IFERROR(IF(X35&gt;0,W35/X35,"-"),"-")</f>
        <v/>
      </c>
      <c r="Z35" s="75" t="n"/>
      <c r="AA35" s="74" t="n">
        <v>2</v>
      </c>
      <c r="AB35" s="74">
        <f>IFERROR(IF(AA35&gt;0,Z35/AA35,"-"),"-")</f>
        <v/>
      </c>
      <c r="AC35" s="75" t="n"/>
      <c r="AD35" s="74" t="n">
        <v>1</v>
      </c>
      <c r="AE35" s="74">
        <f>IFERROR(IF(AD35&gt;0,AC35/AD35,"-"),"-")</f>
        <v/>
      </c>
      <c r="AF35" s="75" t="n"/>
      <c r="AG35" s="74" t="n"/>
      <c r="AH35" s="74">
        <f>IFERROR(IF(AG35&gt;0,AF35/AG35,"-"),"-")</f>
        <v/>
      </c>
      <c r="AI35" s="75" t="n"/>
      <c r="AJ35" s="74" t="n">
        <v>1</v>
      </c>
      <c r="AK35" s="74">
        <f>IFERROR(IF(AJ35&gt;0,AI35/AJ35,"-"),"-")</f>
        <v/>
      </c>
      <c r="AL35" s="75" t="n"/>
      <c r="AM35" s="74" t="n">
        <v>3</v>
      </c>
      <c r="AN35" s="74">
        <f>IFERROR(IF(AM35&gt;0,AL35/AM35,"-"),"-")</f>
        <v/>
      </c>
      <c r="AO35" s="75" t="n">
        <v>1</v>
      </c>
      <c r="AP35" s="74" t="n">
        <v>3</v>
      </c>
      <c r="AQ35" s="74">
        <f>IFERROR(IF(AP35&gt;0,AO35/AP35,"-"),"-")</f>
        <v/>
      </c>
      <c r="AR35" s="75" t="n">
        <v>1</v>
      </c>
      <c r="AS35" s="60" t="n"/>
      <c r="AT35" s="60" t="n"/>
    </row>
    <row r="36" ht="15" customHeight="1">
      <c r="A36" s="70" t="n">
        <v>28</v>
      </c>
      <c r="B36" s="71" t="inlineStr">
        <is>
          <t>Caballo Collection</t>
        </is>
      </c>
      <c r="C36" s="70" t="inlineStr">
        <is>
          <t>C00013</t>
        </is>
      </c>
      <c r="D36" s="71" t="inlineStr">
        <is>
          <t>White Overdose Perfume 100ml</t>
        </is>
      </c>
      <c r="E36" s="70" t="n">
        <v>5</v>
      </c>
      <c r="F36" s="72">
        <f>SUM(I36:AP36)</f>
        <v/>
      </c>
      <c r="G36" s="72">
        <f>SUM(J36:AQ36)</f>
        <v/>
      </c>
      <c r="H36" s="73">
        <f>IFERROR(IF(G36&gt;0,F36/G36,"-"),"-")</f>
        <v/>
      </c>
      <c r="I36" s="74" t="n">
        <v>16</v>
      </c>
      <c r="J36" s="74">
        <f>IFERROR(IF(I36&gt;0,H36/I36,"-"),"-")</f>
        <v/>
      </c>
      <c r="K36" s="75" t="n">
        <v>1</v>
      </c>
      <c r="L36" s="74" t="n">
        <v>28</v>
      </c>
      <c r="M36" s="74">
        <f>IFERROR(IF(L36&gt;0,K36/L36,"-"),"-")</f>
        <v/>
      </c>
      <c r="N36" s="75" t="n">
        <v>4</v>
      </c>
      <c r="O36" s="74" t="n">
        <v>8</v>
      </c>
      <c r="P36" s="74">
        <f>IFERROR(IF(O36&gt;0,N36/O36,"-"),"-")</f>
        <v/>
      </c>
      <c r="Q36" s="75" t="n"/>
      <c r="R36" s="74" t="n">
        <v>15</v>
      </c>
      <c r="S36" s="74">
        <f>IFERROR(IF(R36&gt;0,Q36/R36,"-"),"-")</f>
        <v/>
      </c>
      <c r="T36" s="75" t="n">
        <v>4</v>
      </c>
      <c r="U36" s="74" t="n">
        <v>22</v>
      </c>
      <c r="V36" s="74">
        <f>IFERROR(IF(U36&gt;0,T36/U36,"-"),"-")</f>
        <v/>
      </c>
      <c r="W36" s="75" t="n">
        <v>1</v>
      </c>
      <c r="X36" s="74" t="n">
        <v>10</v>
      </c>
      <c r="Y36" s="74">
        <f>IFERROR(IF(X36&gt;0,W36/X36,"-"),"-")</f>
        <v/>
      </c>
      <c r="Z36" s="75" t="n">
        <v>5</v>
      </c>
      <c r="AA36" s="74" t="n">
        <v>22</v>
      </c>
      <c r="AB36" s="74">
        <f>IFERROR(IF(AA36&gt;0,Z36/AA36,"-"),"-")</f>
        <v/>
      </c>
      <c r="AC36" s="75" t="n">
        <v>3</v>
      </c>
      <c r="AD36" s="74" t="n">
        <v>20</v>
      </c>
      <c r="AE36" s="74">
        <f>IFERROR(IF(AD36&gt;0,AC36/AD36,"-"),"-")</f>
        <v/>
      </c>
      <c r="AF36" s="75" t="n"/>
      <c r="AG36" s="74" t="n"/>
      <c r="AH36" s="74">
        <f>IFERROR(IF(AG36&gt;0,AF36/AG36,"-"),"-")</f>
        <v/>
      </c>
      <c r="AI36" s="75" t="n">
        <v>3</v>
      </c>
      <c r="AJ36" s="74" t="n">
        <v>20</v>
      </c>
      <c r="AK36" s="74">
        <f>IFERROR(IF(AJ36&gt;0,AI36/AJ36,"-"),"-")</f>
        <v/>
      </c>
      <c r="AL36" s="75" t="n">
        <v>2</v>
      </c>
      <c r="AM36" s="74" t="n">
        <v>9</v>
      </c>
      <c r="AN36" s="74">
        <f>IFERROR(IF(AM36&gt;0,AL36/AM36,"-"),"-")</f>
        <v/>
      </c>
      <c r="AO36" s="75" t="n">
        <v>3</v>
      </c>
      <c r="AP36" s="74" t="n">
        <v>4</v>
      </c>
      <c r="AQ36" s="74">
        <f>IFERROR(IF(AP36&gt;0,AO36/AP36,"-"),"-")</f>
        <v/>
      </c>
      <c r="AR36" s="75" t="n">
        <v>3</v>
      </c>
      <c r="AS36" s="60" t="n"/>
      <c r="AT36" s="60" t="n"/>
    </row>
    <row r="37" ht="15" customHeight="1">
      <c r="A37" s="70" t="n">
        <v>29</v>
      </c>
      <c r="B37" s="71" t="inlineStr">
        <is>
          <t>Caballo Collection</t>
        </is>
      </c>
      <c r="C37" s="70" t="inlineStr">
        <is>
          <t>C00014</t>
        </is>
      </c>
      <c r="D37" s="71" t="inlineStr">
        <is>
          <t>Black Perfume 100ml</t>
        </is>
      </c>
      <c r="E37" s="70" t="n">
        <v>2</v>
      </c>
      <c r="F37" s="72">
        <f>SUM(I37:AP37)</f>
        <v/>
      </c>
      <c r="G37" s="72">
        <f>SUM(J37:AQ37)</f>
        <v/>
      </c>
      <c r="H37" s="73">
        <f>IFERROR(IF(G37&gt;0,F37/G37,"-"),"-")</f>
        <v/>
      </c>
      <c r="I37" s="74" t="n"/>
      <c r="J37" s="74">
        <f>IFERROR(IF(I37&gt;0,H37/I37,"-"),"-")</f>
        <v/>
      </c>
      <c r="K37" s="75" t="n">
        <v>1</v>
      </c>
      <c r="L37" s="74" t="n">
        <v>2</v>
      </c>
      <c r="M37" s="74">
        <f>IFERROR(IF(L37&gt;0,K37/L37,"-"),"-")</f>
        <v/>
      </c>
      <c r="N37" s="75" t="n"/>
      <c r="O37" s="74" t="n"/>
      <c r="P37" s="74">
        <f>IFERROR(IF(O37&gt;0,N37/O37,"-"),"-")</f>
        <v/>
      </c>
      <c r="Q37" s="75" t="n"/>
      <c r="R37" s="74" t="n">
        <v>1</v>
      </c>
      <c r="S37" s="74">
        <f>IFERROR(IF(R37&gt;0,Q37/R37,"-"),"-")</f>
        <v/>
      </c>
      <c r="T37" s="75" t="n"/>
      <c r="U37" s="74" t="n"/>
      <c r="V37" s="74">
        <f>IFERROR(IF(U37&gt;0,T37/U37,"-"),"-")</f>
        <v/>
      </c>
      <c r="W37" s="75" t="n">
        <v>1</v>
      </c>
      <c r="X37" s="74" t="n">
        <v>1</v>
      </c>
      <c r="Y37" s="74">
        <f>IFERROR(IF(X37&gt;0,W37/X37,"-"),"-")</f>
        <v/>
      </c>
      <c r="Z37" s="75" t="n"/>
      <c r="AA37" s="74" t="n">
        <v>2</v>
      </c>
      <c r="AB37" s="74">
        <f>IFERROR(IF(AA37&gt;0,Z37/AA37,"-"),"-")</f>
        <v/>
      </c>
      <c r="AC37" s="75" t="n"/>
      <c r="AD37" s="74" t="n">
        <v>1</v>
      </c>
      <c r="AE37" s="74">
        <f>IFERROR(IF(AD37&gt;0,AC37/AD37,"-"),"-")</f>
        <v/>
      </c>
      <c r="AF37" s="75" t="n"/>
      <c r="AG37" s="74" t="n"/>
      <c r="AH37" s="74">
        <f>IFERROR(IF(AG37&gt;0,AF37/AG37,"-"),"-")</f>
        <v/>
      </c>
      <c r="AI37" s="75" t="n"/>
      <c r="AJ37" s="74" t="n">
        <v>2</v>
      </c>
      <c r="AK37" s="74">
        <f>IFERROR(IF(AJ37&gt;0,AI37/AJ37,"-"),"-")</f>
        <v/>
      </c>
      <c r="AL37" s="75" t="n"/>
      <c r="AM37" s="74" t="n"/>
      <c r="AN37" s="74">
        <f>IFERROR(IF(AM37&gt;0,AL37/AM37,"-"),"-")</f>
        <v/>
      </c>
      <c r="AO37" s="75" t="n">
        <v>1</v>
      </c>
      <c r="AP37" s="74" t="n">
        <v>1</v>
      </c>
      <c r="AQ37" s="74">
        <f>IFERROR(IF(AP37&gt;0,AO37/AP37,"-"),"-")</f>
        <v/>
      </c>
      <c r="AR37" s="75" t="n"/>
      <c r="AS37" s="60" t="n"/>
      <c r="AT37" s="60" t="n"/>
    </row>
    <row r="38" ht="15" customHeight="1">
      <c r="A38" s="76" t="inlineStr">
        <is>
          <t xml:space="preserve">  DAKHOON COLLECTION</t>
        </is>
      </c>
      <c r="B38" s="77" t="n"/>
      <c r="C38" s="77" t="n"/>
      <c r="D38" s="77" t="n"/>
      <c r="E38" s="77" t="n">
        <v>3</v>
      </c>
      <c r="F38" s="72">
        <f>SUM(I38:AP38)</f>
        <v/>
      </c>
      <c r="G38" s="72">
        <f>SUM(J38:AQ38)</f>
        <v/>
      </c>
      <c r="H38" s="73">
        <f>IFERROR(IF(G38&gt;0,F38/G38,"-"),"-")</f>
        <v/>
      </c>
      <c r="I38" s="74" t="n">
        <v>1</v>
      </c>
      <c r="J38" s="74">
        <f>IFERROR(IF(I38&gt;0,H38/I38,"-"),"-")</f>
        <v/>
      </c>
      <c r="K38" s="75" t="n">
        <v>2</v>
      </c>
      <c r="L38" s="74" t="n">
        <v>2</v>
      </c>
      <c r="M38" s="74">
        <f>IFERROR(IF(L38&gt;0,K38/L38,"-"),"-")</f>
        <v/>
      </c>
      <c r="N38" s="75" t="n"/>
      <c r="O38" s="74" t="n">
        <v>3</v>
      </c>
      <c r="P38" s="74">
        <f>IFERROR(IF(O38&gt;0,N38/O38,"-"),"-")</f>
        <v/>
      </c>
      <c r="Q38" s="75" t="n">
        <v>1</v>
      </c>
      <c r="R38" s="74" t="n">
        <v>2</v>
      </c>
      <c r="S38" s="74">
        <f>IFERROR(IF(R38&gt;0,Q38/R38,"-"),"-")</f>
        <v/>
      </c>
      <c r="T38" s="75" t="n"/>
      <c r="U38" s="74" t="n">
        <v>3</v>
      </c>
      <c r="V38" s="74">
        <f>IFERROR(IF(U38&gt;0,T38/U38,"-"),"-")</f>
        <v/>
      </c>
      <c r="W38" s="75" t="n"/>
      <c r="X38" s="74" t="n">
        <v>3</v>
      </c>
      <c r="Y38" s="74">
        <f>IFERROR(IF(X38&gt;0,W38/X38,"-"),"-")</f>
        <v/>
      </c>
      <c r="Z38" s="75" t="n">
        <v>1</v>
      </c>
      <c r="AA38" s="74" t="n">
        <v>5</v>
      </c>
      <c r="AB38" s="74">
        <f>IFERROR(IF(AA38&gt;0,Z38/AA38,"-"),"-")</f>
        <v/>
      </c>
      <c r="AC38" s="75" t="n">
        <v>3</v>
      </c>
      <c r="AD38" s="74" t="n">
        <v>3</v>
      </c>
      <c r="AE38" s="74">
        <f>IFERROR(IF(AD38&gt;0,AC38/AD38,"-"),"-")</f>
        <v/>
      </c>
      <c r="AF38" s="75" t="n"/>
      <c r="AG38" s="74" t="n"/>
      <c r="AH38" s="74">
        <f>IFERROR(IF(AG38&gt;0,AF38/AG38,"-"),"-")</f>
        <v/>
      </c>
      <c r="AI38" s="75" t="n">
        <v>1</v>
      </c>
      <c r="AJ38" s="74" t="n">
        <v>4</v>
      </c>
      <c r="AK38" s="74">
        <f>IFERROR(IF(AJ38&gt;0,AI38/AJ38,"-"),"-")</f>
        <v/>
      </c>
      <c r="AL38" s="75" t="n"/>
      <c r="AM38" s="74" t="n">
        <v>3</v>
      </c>
      <c r="AN38" s="74">
        <f>IFERROR(IF(AM38&gt;0,AL38/AM38,"-"),"-")</f>
        <v/>
      </c>
      <c r="AO38" s="75" t="n">
        <v>1</v>
      </c>
      <c r="AP38" s="74" t="n">
        <v>2</v>
      </c>
      <c r="AQ38" s="74">
        <f>IFERROR(IF(AP38&gt;0,AO38/AP38,"-"),"-")</f>
        <v/>
      </c>
      <c r="AR38" s="75" t="n">
        <v>1</v>
      </c>
      <c r="AS38" s="59" t="n"/>
      <c r="AT38" s="59" t="n"/>
    </row>
    <row r="39" ht="15" customHeight="1">
      <c r="A39" s="70" t="n">
        <v>30</v>
      </c>
      <c r="B39" s="71" t="inlineStr">
        <is>
          <t>Dakhoon Collection</t>
        </is>
      </c>
      <c r="C39" s="70" t="inlineStr">
        <is>
          <t>D00001</t>
        </is>
      </c>
      <c r="D39" s="71" t="inlineStr">
        <is>
          <t>Dakhoon Al Emarat</t>
        </is>
      </c>
      <c r="E39" s="70" t="n">
        <v>4</v>
      </c>
      <c r="F39" s="72">
        <f>SUM(I39:AP39)</f>
        <v/>
      </c>
      <c r="G39" s="72">
        <f>SUM(J39:AQ39)</f>
        <v/>
      </c>
      <c r="H39" s="73">
        <f>IFERROR(IF(G39&gt;0,F39/G39,"-"),"-")</f>
        <v/>
      </c>
      <c r="I39" s="74" t="n">
        <v>2</v>
      </c>
      <c r="J39" s="74">
        <f>IFERROR(IF(I39&gt;0,H39/I39,"-"),"-")</f>
        <v/>
      </c>
      <c r="K39" s="75" t="n">
        <v>2</v>
      </c>
      <c r="L39" s="74" t="n">
        <v>23</v>
      </c>
      <c r="M39" s="74">
        <f>IFERROR(IF(L39&gt;0,K39/L39,"-"),"-")</f>
        <v/>
      </c>
      <c r="N39" s="75" t="n">
        <v>1</v>
      </c>
      <c r="O39" s="74" t="n">
        <v>2</v>
      </c>
      <c r="P39" s="74">
        <f>IFERROR(IF(O39&gt;0,N39/O39,"-"),"-")</f>
        <v/>
      </c>
      <c r="Q39" s="75" t="n"/>
      <c r="R39" s="74" t="n">
        <v>10</v>
      </c>
      <c r="S39" s="74">
        <f>IFERROR(IF(R39&gt;0,Q39/R39,"-"),"-")</f>
        <v/>
      </c>
      <c r="T39" s="75" t="n">
        <v>3</v>
      </c>
      <c r="U39" s="74" t="n">
        <v>9</v>
      </c>
      <c r="V39" s="74">
        <f>IFERROR(IF(U39&gt;0,T39/U39,"-"),"-")</f>
        <v/>
      </c>
      <c r="W39" s="75" t="n">
        <v>3</v>
      </c>
      <c r="X39" s="74" t="n">
        <v>4</v>
      </c>
      <c r="Y39" s="74">
        <f>IFERROR(IF(X39&gt;0,W39/X39,"-"),"-")</f>
        <v/>
      </c>
      <c r="Z39" s="75" t="n">
        <v>5</v>
      </c>
      <c r="AA39" s="74" t="n">
        <v>19</v>
      </c>
      <c r="AB39" s="74">
        <f>IFERROR(IF(AA39&gt;0,Z39/AA39,"-"),"-")</f>
        <v/>
      </c>
      <c r="AC39" s="75" t="n">
        <v>3</v>
      </c>
      <c r="AD39" s="74" t="n">
        <v>7</v>
      </c>
      <c r="AE39" s="74">
        <f>IFERROR(IF(AD39&gt;0,AC39/AD39,"-"),"-")</f>
        <v/>
      </c>
      <c r="AF39" s="75" t="n"/>
      <c r="AG39" s="74" t="n"/>
      <c r="AH39" s="74">
        <f>IFERROR(IF(AG39&gt;0,AF39/AG39,"-"),"-")</f>
        <v/>
      </c>
      <c r="AI39" s="75" t="n">
        <v>1</v>
      </c>
      <c r="AJ39" s="74" t="n">
        <v>4</v>
      </c>
      <c r="AK39" s="74">
        <f>IFERROR(IF(AJ39&gt;0,AI39/AJ39,"-"),"-")</f>
        <v/>
      </c>
      <c r="AL39" s="75" t="n"/>
      <c r="AM39" s="74" t="n">
        <v>2</v>
      </c>
      <c r="AN39" s="74">
        <f>IFERROR(IF(AM39&gt;0,AL39/AM39,"-"),"-")</f>
        <v/>
      </c>
      <c r="AO39" s="75" t="n">
        <v>2</v>
      </c>
      <c r="AP39" s="74" t="n">
        <v>9</v>
      </c>
      <c r="AQ39" s="74">
        <f>IFERROR(IF(AP39&gt;0,AO39/AP39,"-"),"-")</f>
        <v/>
      </c>
      <c r="AR39" s="75" t="n">
        <v>1</v>
      </c>
      <c r="AS39" s="60" t="n"/>
      <c r="AT39" s="60" t="n"/>
    </row>
    <row r="40" ht="15" customHeight="1">
      <c r="A40" s="70" t="n">
        <v>31</v>
      </c>
      <c r="B40" s="71" t="inlineStr">
        <is>
          <t>Dakhoon Collection</t>
        </is>
      </c>
      <c r="C40" s="70" t="inlineStr">
        <is>
          <t>D00002</t>
        </is>
      </c>
      <c r="D40" s="71" t="inlineStr">
        <is>
          <t>Dakhoon Al Marasim</t>
        </is>
      </c>
      <c r="E40" s="70" t="n">
        <v>1</v>
      </c>
      <c r="F40" s="72">
        <f>SUM(I40:AP40)</f>
        <v/>
      </c>
      <c r="G40" s="72">
        <f>SUM(J40:AQ40)</f>
        <v/>
      </c>
      <c r="H40" s="73">
        <f>IFERROR(IF(G40&gt;0,F40/G40,"-"),"-")</f>
        <v/>
      </c>
      <c r="I40" s="74" t="n"/>
      <c r="J40" s="74">
        <f>IFERROR(IF(I40&gt;0,H40/I40,"-"),"-")</f>
        <v/>
      </c>
      <c r="K40" s="75" t="n"/>
      <c r="L40" s="74" t="n">
        <v>3</v>
      </c>
      <c r="M40" s="74">
        <f>IFERROR(IF(L40&gt;0,K40/L40,"-"),"-")</f>
        <v/>
      </c>
      <c r="N40" s="75" t="n"/>
      <c r="O40" s="74" t="n">
        <v>1</v>
      </c>
      <c r="P40" s="74">
        <f>IFERROR(IF(O40&gt;0,N40/O40,"-"),"-")</f>
        <v/>
      </c>
      <c r="Q40" s="75" t="n"/>
      <c r="R40" s="74" t="n"/>
      <c r="S40" s="74">
        <f>IFERROR(IF(R40&gt;0,Q40/R40,"-"),"-")</f>
        <v/>
      </c>
      <c r="T40" s="75" t="n"/>
      <c r="U40" s="74" t="n">
        <v>2</v>
      </c>
      <c r="V40" s="74">
        <f>IFERROR(IF(U40&gt;0,T40/U40,"-"),"-")</f>
        <v/>
      </c>
      <c r="W40" s="75" t="n"/>
      <c r="X40" s="74" t="n">
        <v>1</v>
      </c>
      <c r="Y40" s="74">
        <f>IFERROR(IF(X40&gt;0,W40/X40,"-"),"-")</f>
        <v/>
      </c>
      <c r="Z40" s="75" t="n"/>
      <c r="AA40" s="74" t="n">
        <v>1</v>
      </c>
      <c r="AB40" s="74">
        <f>IFERROR(IF(AA40&gt;0,Z40/AA40,"-"),"-")</f>
        <v/>
      </c>
      <c r="AC40" s="75" t="n"/>
      <c r="AD40" s="74" t="n"/>
      <c r="AE40" s="74">
        <f>IFERROR(IF(AD40&gt;0,AC40/AD40,"-"),"-")</f>
        <v/>
      </c>
      <c r="AF40" s="75" t="n"/>
      <c r="AG40" s="74" t="n"/>
      <c r="AH40" s="74">
        <f>IFERROR(IF(AG40&gt;0,AF40/AG40,"-"),"-")</f>
        <v/>
      </c>
      <c r="AI40" s="75" t="n"/>
      <c r="AJ40" s="74" t="n"/>
      <c r="AK40" s="74">
        <f>IFERROR(IF(AJ40&gt;0,AI40/AJ40,"-"),"-")</f>
        <v/>
      </c>
      <c r="AL40" s="75" t="n"/>
      <c r="AM40" s="74" t="n"/>
      <c r="AN40" s="74">
        <f>IFERROR(IF(AM40&gt;0,AL40/AM40,"-"),"-")</f>
        <v/>
      </c>
      <c r="AO40" s="75" t="n">
        <v>1</v>
      </c>
      <c r="AP40" s="74" t="n">
        <v>1</v>
      </c>
      <c r="AQ40" s="74">
        <f>IFERROR(IF(AP40&gt;0,AO40/AP40,"-"),"-")</f>
        <v/>
      </c>
      <c r="AR40" s="75" t="n"/>
      <c r="AS40" s="60" t="n"/>
      <c r="AT40" s="60" t="n"/>
    </row>
    <row r="41" ht="15" customHeight="1">
      <c r="A41" s="70" t="n">
        <v>32</v>
      </c>
      <c r="B41" s="71" t="inlineStr">
        <is>
          <t>Dakhoon Collection</t>
        </is>
      </c>
      <c r="C41" s="70" t="inlineStr">
        <is>
          <t>D00003</t>
        </is>
      </c>
      <c r="D41" s="71" t="inlineStr">
        <is>
          <t>Dakhoon Badia</t>
        </is>
      </c>
      <c r="E41" s="70" t="n">
        <v>2</v>
      </c>
      <c r="F41" s="72">
        <f>SUM(I41:AP41)</f>
        <v/>
      </c>
      <c r="G41" s="72">
        <f>SUM(J41:AQ41)</f>
        <v/>
      </c>
      <c r="H41" s="73">
        <f>IFERROR(IF(G41&gt;0,F41/G41,"-"),"-")</f>
        <v/>
      </c>
      <c r="I41" s="74" t="n"/>
      <c r="J41" s="74">
        <f>IFERROR(IF(I41&gt;0,H41/I41,"-"),"-")</f>
        <v/>
      </c>
      <c r="K41" s="75" t="n">
        <v>1</v>
      </c>
      <c r="L41" s="74" t="n">
        <v>6</v>
      </c>
      <c r="M41" s="74">
        <f>IFERROR(IF(L41&gt;0,K41/L41,"-"),"-")</f>
        <v/>
      </c>
      <c r="N41" s="75" t="n"/>
      <c r="O41" s="74" t="n">
        <v>1</v>
      </c>
      <c r="P41" s="74">
        <f>IFERROR(IF(O41&gt;0,N41/O41,"-"),"-")</f>
        <v/>
      </c>
      <c r="Q41" s="75" t="n">
        <v>1</v>
      </c>
      <c r="R41" s="74" t="n"/>
      <c r="S41" s="74">
        <f>IFERROR(IF(R41&gt;0,Q41/R41,"-"),"-")</f>
        <v/>
      </c>
      <c r="T41" s="75" t="n"/>
      <c r="U41" s="74" t="n"/>
      <c r="V41" s="74">
        <f>IFERROR(IF(U41&gt;0,T41/U41,"-"),"-")</f>
        <v/>
      </c>
      <c r="W41" s="75" t="n"/>
      <c r="X41" s="74" t="n">
        <v>2</v>
      </c>
      <c r="Y41" s="74">
        <f>IFERROR(IF(X41&gt;0,W41/X41,"-"),"-")</f>
        <v/>
      </c>
      <c r="Z41" s="75" t="n"/>
      <c r="AA41" s="74" t="n"/>
      <c r="AB41" s="74">
        <f>IFERROR(IF(AA41&gt;0,Z41/AA41,"-"),"-")</f>
        <v/>
      </c>
      <c r="AC41" s="75" t="n"/>
      <c r="AD41" s="74" t="n"/>
      <c r="AE41" s="74">
        <f>IFERROR(IF(AD41&gt;0,AC41/AD41,"-"),"-")</f>
        <v/>
      </c>
      <c r="AF41" s="75" t="n"/>
      <c r="AG41" s="74" t="n"/>
      <c r="AH41" s="74">
        <f>IFERROR(IF(AG41&gt;0,AF41/AG41,"-"),"-")</f>
        <v/>
      </c>
      <c r="AI41" s="75" t="n"/>
      <c r="AJ41" s="74" t="n">
        <v>3</v>
      </c>
      <c r="AK41" s="74">
        <f>IFERROR(IF(AJ41&gt;0,AI41/AJ41,"-"),"-")</f>
        <v/>
      </c>
      <c r="AL41" s="75" t="n"/>
      <c r="AM41" s="74" t="n"/>
      <c r="AN41" s="74">
        <f>IFERROR(IF(AM41&gt;0,AL41/AM41,"-"),"-")</f>
        <v/>
      </c>
      <c r="AO41" s="75" t="n">
        <v>1</v>
      </c>
      <c r="AP41" s="74" t="n">
        <v>3</v>
      </c>
      <c r="AQ41" s="74">
        <f>IFERROR(IF(AP41&gt;0,AO41/AP41,"-"),"-")</f>
        <v/>
      </c>
      <c r="AR41" s="75" t="n"/>
      <c r="AS41" s="60" t="n"/>
      <c r="AT41" s="60" t="n"/>
    </row>
    <row r="42" ht="15" customHeight="1">
      <c r="A42" s="70" t="n">
        <v>33</v>
      </c>
      <c r="B42" s="71" t="inlineStr">
        <is>
          <t>Dakhoon Collection</t>
        </is>
      </c>
      <c r="C42" s="70" t="inlineStr">
        <is>
          <t>D00004</t>
        </is>
      </c>
      <c r="D42" s="71" t="inlineStr">
        <is>
          <t>Dakhoon Al Dar</t>
        </is>
      </c>
      <c r="E42" s="70" t="n"/>
      <c r="F42" s="72">
        <f>SUM(I42:AP42)</f>
        <v/>
      </c>
      <c r="G42" s="72">
        <f>SUM(J42:AQ42)</f>
        <v/>
      </c>
      <c r="H42" s="73">
        <f>IFERROR(IF(G42&gt;0,F42/G42,"-"),"-")</f>
        <v/>
      </c>
      <c r="I42" s="74" t="n"/>
      <c r="J42" s="74">
        <f>IFERROR(IF(I42&gt;0,H42/I42,"-"),"-")</f>
        <v/>
      </c>
      <c r="K42" s="75" t="n"/>
      <c r="L42" s="74" t="n"/>
      <c r="M42" s="74">
        <f>IFERROR(IF(L42&gt;0,K42/L42,"-"),"-")</f>
        <v/>
      </c>
      <c r="N42" s="75" t="n"/>
      <c r="O42" s="74" t="n"/>
      <c r="P42" s="74">
        <f>IFERROR(IF(O42&gt;0,N42/O42,"-"),"-")</f>
        <v/>
      </c>
      <c r="Q42" s="75" t="n"/>
      <c r="R42" s="74" t="n">
        <v>1</v>
      </c>
      <c r="S42" s="74">
        <f>IFERROR(IF(R42&gt;0,Q42/R42,"-"),"-")</f>
        <v/>
      </c>
      <c r="T42" s="75" t="n"/>
      <c r="U42" s="74" t="n"/>
      <c r="V42" s="74">
        <f>IFERROR(IF(U42&gt;0,T42/U42,"-"),"-")</f>
        <v/>
      </c>
      <c r="W42" s="75" t="n">
        <v>1</v>
      </c>
      <c r="X42" s="74" t="n"/>
      <c r="Y42" s="74">
        <f>IFERROR(IF(X42&gt;0,W42/X42,"-"),"-")</f>
        <v/>
      </c>
      <c r="Z42" s="75" t="n"/>
      <c r="AA42" s="74" t="n"/>
      <c r="AB42" s="74">
        <f>IFERROR(IF(AA42&gt;0,Z42/AA42,"-"),"-")</f>
        <v/>
      </c>
      <c r="AC42" s="75" t="n"/>
      <c r="AD42" s="74" t="n"/>
      <c r="AE42" s="74">
        <f>IFERROR(IF(AD42&gt;0,AC42/AD42,"-"),"-")</f>
        <v/>
      </c>
      <c r="AF42" s="75" t="n"/>
      <c r="AG42" s="74" t="n"/>
      <c r="AH42" s="74">
        <f>IFERROR(IF(AG42&gt;0,AF42/AG42,"-"),"-")</f>
        <v/>
      </c>
      <c r="AI42" s="75" t="n"/>
      <c r="AJ42" s="74" t="n"/>
      <c r="AK42" s="74">
        <f>IFERROR(IF(AJ42&gt;0,AI42/AJ42,"-"),"-")</f>
        <v/>
      </c>
      <c r="AL42" s="75" t="n"/>
      <c r="AM42" s="74" t="n">
        <v>1</v>
      </c>
      <c r="AN42" s="74">
        <f>IFERROR(IF(AM42&gt;0,AL42/AM42,"-"),"-")</f>
        <v/>
      </c>
      <c r="AO42" s="75" t="n">
        <v>1</v>
      </c>
      <c r="AP42" s="74" t="n"/>
      <c r="AQ42" s="74">
        <f>IFERROR(IF(AP42&gt;0,AO42/AP42,"-"),"-")</f>
        <v/>
      </c>
      <c r="AR42" s="75" t="n"/>
      <c r="AS42" s="60" t="n"/>
      <c r="AT42" s="60" t="n"/>
    </row>
    <row r="43" ht="15" customHeight="1">
      <c r="A43" s="70" t="n">
        <v>34</v>
      </c>
      <c r="B43" s="71" t="inlineStr">
        <is>
          <t>Dakhoon Collection</t>
        </is>
      </c>
      <c r="C43" s="70" t="inlineStr">
        <is>
          <t>D00005</t>
        </is>
      </c>
      <c r="D43" s="71" t="inlineStr">
        <is>
          <t>Dakhoon Al Barzah</t>
        </is>
      </c>
      <c r="E43" s="70" t="n"/>
      <c r="F43" s="72">
        <f>SUM(I43:AP43)</f>
        <v/>
      </c>
      <c r="G43" s="72">
        <f>SUM(J43:AQ43)</f>
        <v/>
      </c>
      <c r="H43" s="73">
        <f>IFERROR(IF(G43&gt;0,F43/G43,"-"),"-")</f>
        <v/>
      </c>
      <c r="I43" s="74" t="n"/>
      <c r="J43" s="74">
        <f>IFERROR(IF(I43&gt;0,H43/I43,"-"),"-")</f>
        <v/>
      </c>
      <c r="K43" s="75" t="n">
        <v>1</v>
      </c>
      <c r="L43" s="74" t="n"/>
      <c r="M43" s="74">
        <f>IFERROR(IF(L43&gt;0,K43/L43,"-"),"-")</f>
        <v/>
      </c>
      <c r="N43" s="75" t="n"/>
      <c r="O43" s="74" t="n"/>
      <c r="P43" s="74">
        <f>IFERROR(IF(O43&gt;0,N43/O43,"-"),"-")</f>
        <v/>
      </c>
      <c r="Q43" s="75" t="n"/>
      <c r="R43" s="74" t="n">
        <v>2</v>
      </c>
      <c r="S43" s="74">
        <f>IFERROR(IF(R43&gt;0,Q43/R43,"-"),"-")</f>
        <v/>
      </c>
      <c r="T43" s="75" t="n"/>
      <c r="U43" s="74" t="n"/>
      <c r="V43" s="74">
        <f>IFERROR(IF(U43&gt;0,T43/U43,"-"),"-")</f>
        <v/>
      </c>
      <c r="W43" s="75" t="n">
        <v>1</v>
      </c>
      <c r="X43" s="74" t="n"/>
      <c r="Y43" s="74">
        <f>IFERROR(IF(X43&gt;0,W43/X43,"-"),"-")</f>
        <v/>
      </c>
      <c r="Z43" s="75" t="n"/>
      <c r="AA43" s="74" t="n"/>
      <c r="AB43" s="74">
        <f>IFERROR(IF(AA43&gt;0,Z43/AA43,"-"),"-")</f>
        <v/>
      </c>
      <c r="AC43" s="75" t="n">
        <v>1</v>
      </c>
      <c r="AD43" s="74" t="n"/>
      <c r="AE43" s="74">
        <f>IFERROR(IF(AD43&gt;0,AC43/AD43,"-"),"-")</f>
        <v/>
      </c>
      <c r="AF43" s="75" t="n"/>
      <c r="AG43" s="74" t="n"/>
      <c r="AH43" s="74">
        <f>IFERROR(IF(AG43&gt;0,AF43/AG43,"-"),"-")</f>
        <v/>
      </c>
      <c r="AI43" s="75" t="n"/>
      <c r="AJ43" s="74" t="n"/>
      <c r="AK43" s="74">
        <f>IFERROR(IF(AJ43&gt;0,AI43/AJ43,"-"),"-")</f>
        <v/>
      </c>
      <c r="AL43" s="75" t="n"/>
      <c r="AM43" s="74" t="n">
        <v>2</v>
      </c>
      <c r="AN43" s="74">
        <f>IFERROR(IF(AM43&gt;0,AL43/AM43,"-"),"-")</f>
        <v/>
      </c>
      <c r="AO43" s="75" t="n">
        <v>1</v>
      </c>
      <c r="AP43" s="74" t="n"/>
      <c r="AQ43" s="74">
        <f>IFERROR(IF(AP43&gt;0,AO43/AP43,"-"),"-")</f>
        <v/>
      </c>
      <c r="AR43" s="75" t="n"/>
      <c r="AS43" s="60" t="n"/>
      <c r="AT43" s="60" t="n"/>
    </row>
    <row r="44" ht="15" customHeight="1">
      <c r="A44" s="70" t="n">
        <v>35</v>
      </c>
      <c r="B44" s="71" t="inlineStr">
        <is>
          <t>Dakhoon Collection</t>
        </is>
      </c>
      <c r="C44" s="70" t="inlineStr">
        <is>
          <t>D00008</t>
        </is>
      </c>
      <c r="D44" s="71" t="inlineStr">
        <is>
          <t>Dakhoon Retaj</t>
        </is>
      </c>
      <c r="E44" s="70" t="n"/>
      <c r="F44" s="72">
        <f>SUM(I44:AP44)</f>
        <v/>
      </c>
      <c r="G44" s="72">
        <f>SUM(J44:AQ44)</f>
        <v/>
      </c>
      <c r="H44" s="73">
        <f>IFERROR(IF(G44&gt;0,F44/G44,"-"),"-")</f>
        <v/>
      </c>
      <c r="I44" s="74" t="n">
        <v>4</v>
      </c>
      <c r="J44" s="74">
        <f>IFERROR(IF(I44&gt;0,H44/I44,"-"),"-")</f>
        <v/>
      </c>
      <c r="K44" s="75" t="n">
        <v>2</v>
      </c>
      <c r="L44" s="74" t="n"/>
      <c r="M44" s="74">
        <f>IFERROR(IF(L44&gt;0,K44/L44,"-"),"-")</f>
        <v/>
      </c>
      <c r="N44" s="75" t="n"/>
      <c r="O44" s="74" t="n"/>
      <c r="P44" s="74">
        <f>IFERROR(IF(O44&gt;0,N44/O44,"-"),"-")</f>
        <v/>
      </c>
      <c r="Q44" s="75" t="n"/>
      <c r="R44" s="74" t="n">
        <v>5</v>
      </c>
      <c r="S44" s="74">
        <f>IFERROR(IF(R44&gt;0,Q44/R44,"-"),"-")</f>
        <v/>
      </c>
      <c r="T44" s="75" t="n"/>
      <c r="U44" s="74" t="n">
        <v>3</v>
      </c>
      <c r="V44" s="74">
        <f>IFERROR(IF(U44&gt;0,T44/U44,"-"),"-")</f>
        <v/>
      </c>
      <c r="W44" s="75" t="n"/>
      <c r="X44" s="74" t="n">
        <v>2</v>
      </c>
      <c r="Y44" s="74">
        <f>IFERROR(IF(X44&gt;0,W44/X44,"-"),"-")</f>
        <v/>
      </c>
      <c r="Z44" s="75" t="n">
        <v>2</v>
      </c>
      <c r="AA44" s="74" t="n">
        <v>2</v>
      </c>
      <c r="AB44" s="74">
        <f>IFERROR(IF(AA44&gt;0,Z44/AA44,"-"),"-")</f>
        <v/>
      </c>
      <c r="AC44" s="75" t="n"/>
      <c r="AD44" s="74" t="n">
        <v>4</v>
      </c>
      <c r="AE44" s="74">
        <f>IFERROR(IF(AD44&gt;0,AC44/AD44,"-"),"-")</f>
        <v/>
      </c>
      <c r="AF44" s="75" t="n"/>
      <c r="AG44" s="74" t="n"/>
      <c r="AH44" s="74">
        <f>IFERROR(IF(AG44&gt;0,AF44/AG44,"-"),"-")</f>
        <v/>
      </c>
      <c r="AI44" s="75" t="n">
        <v>1</v>
      </c>
      <c r="AJ44" s="74" t="n">
        <v>1</v>
      </c>
      <c r="AK44" s="74">
        <f>IFERROR(IF(AJ44&gt;0,AI44/AJ44,"-"),"-")</f>
        <v/>
      </c>
      <c r="AL44" s="75" t="n"/>
      <c r="AM44" s="74" t="n"/>
      <c r="AN44" s="74">
        <f>IFERROR(IF(AM44&gt;0,AL44/AM44,"-"),"-")</f>
        <v/>
      </c>
      <c r="AO44" s="75" t="n">
        <v>1</v>
      </c>
      <c r="AP44" s="74" t="n"/>
      <c r="AQ44" s="74">
        <f>IFERROR(IF(AP44&gt;0,AO44/AP44,"-"),"-")</f>
        <v/>
      </c>
      <c r="AR44" s="75" t="n"/>
      <c r="AS44" s="60" t="n"/>
      <c r="AT44" s="60" t="n"/>
    </row>
    <row r="45" ht="15" customHeight="1">
      <c r="A45" s="76" t="inlineStr">
        <is>
          <t xml:space="preserve">  OUD COLLECTION</t>
        </is>
      </c>
      <c r="B45" s="77" t="n"/>
      <c r="C45" s="77" t="n"/>
      <c r="D45" s="77" t="n"/>
      <c r="E45" s="77" t="n"/>
      <c r="F45" s="72">
        <f>SUM(I45:AP45)</f>
        <v/>
      </c>
      <c r="G45" s="72">
        <f>SUM(J45:AQ45)</f>
        <v/>
      </c>
      <c r="H45" s="73">
        <f>IFERROR(IF(G45&gt;0,F45/G45,"-"),"-")</f>
        <v/>
      </c>
      <c r="I45" s="74" t="n">
        <v>2</v>
      </c>
      <c r="J45" s="74">
        <f>IFERROR(IF(I45&gt;0,H45/I45,"-"),"-")</f>
        <v/>
      </c>
      <c r="K45" s="75" t="n"/>
      <c r="L45" s="74" t="n"/>
      <c r="M45" s="74">
        <f>IFERROR(IF(L45&gt;0,K45/L45,"-"),"-")</f>
        <v/>
      </c>
      <c r="N45" s="75" t="n"/>
      <c r="O45" s="74" t="n"/>
      <c r="P45" s="74">
        <f>IFERROR(IF(O45&gt;0,N45/O45,"-"),"-")</f>
        <v/>
      </c>
      <c r="Q45" s="75" t="n"/>
      <c r="R45" s="74" t="n">
        <v>2</v>
      </c>
      <c r="S45" s="74">
        <f>IFERROR(IF(R45&gt;0,Q45/R45,"-"),"-")</f>
        <v/>
      </c>
      <c r="T45" s="75" t="n"/>
      <c r="U45" s="74" t="n">
        <v>5</v>
      </c>
      <c r="V45" s="74">
        <f>IFERROR(IF(U45&gt;0,T45/U45,"-"),"-")</f>
        <v/>
      </c>
      <c r="W45" s="75" t="n"/>
      <c r="X45" s="74" t="n">
        <v>1</v>
      </c>
      <c r="Y45" s="74">
        <f>IFERROR(IF(X45&gt;0,W45/X45,"-"),"-")</f>
        <v/>
      </c>
      <c r="Z45" s="75" t="n"/>
      <c r="AA45" s="74" t="n">
        <v>5</v>
      </c>
      <c r="AB45" s="74">
        <f>IFERROR(IF(AA45&gt;0,Z45/AA45,"-"),"-")</f>
        <v/>
      </c>
      <c r="AC45" s="75" t="n"/>
      <c r="AD45" s="74" t="n">
        <v>4</v>
      </c>
      <c r="AE45" s="74">
        <f>IFERROR(IF(AD45&gt;0,AC45/AD45,"-"),"-")</f>
        <v/>
      </c>
      <c r="AF45" s="75" t="n"/>
      <c r="AG45" s="74" t="n"/>
      <c r="AH45" s="74">
        <f>IFERROR(IF(AG45&gt;0,AF45/AG45,"-"),"-")</f>
        <v/>
      </c>
      <c r="AI45" s="75" t="n">
        <v>1</v>
      </c>
      <c r="AJ45" s="74" t="n">
        <v>1</v>
      </c>
      <c r="AK45" s="74">
        <f>IFERROR(IF(AJ45&gt;0,AI45/AJ45,"-"),"-")</f>
        <v/>
      </c>
      <c r="AL45" s="75" t="n"/>
      <c r="AM45" s="74" t="n"/>
      <c r="AN45" s="74">
        <f>IFERROR(IF(AM45&gt;0,AL45/AM45,"-"),"-")</f>
        <v/>
      </c>
      <c r="AO45" s="75" t="n">
        <v>1</v>
      </c>
      <c r="AP45" s="74" t="n"/>
      <c r="AQ45" s="74">
        <f>IFERROR(IF(AP45&gt;0,AO45/AP45,"-"),"-")</f>
        <v/>
      </c>
      <c r="AR45" s="75" t="n"/>
      <c r="AS45" s="59" t="n"/>
      <c r="AT45" s="59" t="n"/>
    </row>
    <row r="46" ht="15" customHeight="1">
      <c r="A46" s="70" t="n">
        <v>36</v>
      </c>
      <c r="B46" s="71" t="inlineStr">
        <is>
          <t>Oud Collection</t>
        </is>
      </c>
      <c r="C46" s="70" t="inlineStr">
        <is>
          <t>O00001</t>
        </is>
      </c>
      <c r="D46" s="71" t="inlineStr">
        <is>
          <t>Oud Amiri</t>
        </is>
      </c>
      <c r="E46" s="70" t="n">
        <v>1</v>
      </c>
      <c r="F46" s="72">
        <f>SUM(I46:AP46)</f>
        <v/>
      </c>
      <c r="G46" s="72">
        <f>SUM(J46:AQ46)</f>
        <v/>
      </c>
      <c r="H46" s="73">
        <f>IFERROR(IF(G46&gt;0,F46/G46,"-"),"-")</f>
        <v/>
      </c>
      <c r="I46" s="74" t="n">
        <v>1</v>
      </c>
      <c r="J46" s="74">
        <f>IFERROR(IF(I46&gt;0,H46/I46,"-"),"-")</f>
        <v/>
      </c>
      <c r="K46" s="75" t="n">
        <v>1</v>
      </c>
      <c r="L46" s="74" t="n"/>
      <c r="M46" s="74">
        <f>IFERROR(IF(L46&gt;0,K46/L46,"-"),"-")</f>
        <v/>
      </c>
      <c r="N46" s="75" t="n">
        <v>1</v>
      </c>
      <c r="O46" s="74" t="n"/>
      <c r="P46" s="74">
        <f>IFERROR(IF(O46&gt;0,N46/O46,"-"),"-")</f>
        <v/>
      </c>
      <c r="Q46" s="75" t="n"/>
      <c r="R46" s="74" t="n">
        <v>2</v>
      </c>
      <c r="S46" s="74">
        <f>IFERROR(IF(R46&gt;0,Q46/R46,"-"),"-")</f>
        <v/>
      </c>
      <c r="T46" s="75" t="n"/>
      <c r="U46" s="74" t="n"/>
      <c r="V46" s="74">
        <f>IFERROR(IF(U46&gt;0,T46/U46,"-"),"-")</f>
        <v/>
      </c>
      <c r="W46" s="75" t="n"/>
      <c r="X46" s="74" t="n">
        <v>2</v>
      </c>
      <c r="Y46" s="74">
        <f>IFERROR(IF(X46&gt;0,W46/X46,"-"),"-")</f>
        <v/>
      </c>
      <c r="Z46" s="75" t="n"/>
      <c r="AA46" s="74" t="n">
        <v>1</v>
      </c>
      <c r="AB46" s="74">
        <f>IFERROR(IF(AA46&gt;0,Z46/AA46,"-"),"-")</f>
        <v/>
      </c>
      <c r="AC46" s="75" t="n"/>
      <c r="AD46" s="74" t="n">
        <v>2</v>
      </c>
      <c r="AE46" s="74">
        <f>IFERROR(IF(AD46&gt;0,AC46/AD46,"-"),"-")</f>
        <v/>
      </c>
      <c r="AF46" s="75" t="n"/>
      <c r="AG46" s="74" t="n"/>
      <c r="AH46" s="74">
        <f>IFERROR(IF(AG46&gt;0,AF46/AG46,"-"),"-")</f>
        <v/>
      </c>
      <c r="AI46" s="75" t="n"/>
      <c r="AJ46" s="74" t="n">
        <v>2</v>
      </c>
      <c r="AK46" s="74">
        <f>IFERROR(IF(AJ46&gt;0,AI46/AJ46,"-"),"-")</f>
        <v/>
      </c>
      <c r="AL46" s="75" t="n"/>
      <c r="AM46" s="74" t="n"/>
      <c r="AN46" s="74">
        <f>IFERROR(IF(AM46&gt;0,AL46/AM46,"-"),"-")</f>
        <v/>
      </c>
      <c r="AO46" s="75" t="n">
        <v>1</v>
      </c>
      <c r="AP46" s="74" t="n"/>
      <c r="AQ46" s="74">
        <f>IFERROR(IF(AP46&gt;0,AO46/AP46,"-"),"-")</f>
        <v/>
      </c>
      <c r="AR46" s="75" t="n"/>
      <c r="AS46" s="60" t="n"/>
      <c r="AT46" s="60" t="n"/>
    </row>
    <row r="47" ht="15" customHeight="1">
      <c r="A47" s="70" t="n">
        <v>37</v>
      </c>
      <c r="B47" s="71" t="inlineStr">
        <is>
          <t>Oud Collection</t>
        </is>
      </c>
      <c r="C47" s="70" t="inlineStr">
        <is>
          <t>O00002</t>
        </is>
      </c>
      <c r="D47" s="71" t="inlineStr">
        <is>
          <t>Oud Meydan</t>
        </is>
      </c>
      <c r="E47" s="70" t="n"/>
      <c r="F47" s="72">
        <f>SUM(I47:AP47)</f>
        <v/>
      </c>
      <c r="G47" s="72">
        <f>SUM(J47:AQ47)</f>
        <v/>
      </c>
      <c r="H47" s="73">
        <f>IFERROR(IF(G47&gt;0,F47/G47,"-"),"-")</f>
        <v/>
      </c>
      <c r="I47" s="74" t="n"/>
      <c r="J47" s="74">
        <f>IFERROR(IF(I47&gt;0,H47/I47,"-"),"-")</f>
        <v/>
      </c>
      <c r="K47" s="75" t="n">
        <v>1</v>
      </c>
      <c r="L47" s="74" t="n"/>
      <c r="M47" s="74">
        <f>IFERROR(IF(L47&gt;0,K47/L47,"-"),"-")</f>
        <v/>
      </c>
      <c r="N47" s="75" t="n"/>
      <c r="O47" s="74" t="n">
        <v>2</v>
      </c>
      <c r="P47" s="74">
        <f>IFERROR(IF(O47&gt;0,N47/O47,"-"),"-")</f>
        <v/>
      </c>
      <c r="Q47" s="75" t="n"/>
      <c r="R47" s="74" t="n">
        <v>1</v>
      </c>
      <c r="S47" s="74">
        <f>IFERROR(IF(R47&gt;0,Q47/R47,"-"),"-")</f>
        <v/>
      </c>
      <c r="T47" s="75" t="n"/>
      <c r="U47" s="74" t="n">
        <v>5</v>
      </c>
      <c r="V47" s="74">
        <f>IFERROR(IF(U47&gt;0,T47/U47,"-"),"-")</f>
        <v/>
      </c>
      <c r="W47" s="75" t="n"/>
      <c r="X47" s="74" t="n">
        <v>2</v>
      </c>
      <c r="Y47" s="74">
        <f>IFERROR(IF(X47&gt;0,W47/X47,"-"),"-")</f>
        <v/>
      </c>
      <c r="Z47" s="75" t="n">
        <v>1</v>
      </c>
      <c r="AA47" s="74" t="n">
        <v>4</v>
      </c>
      <c r="AB47" s="74">
        <f>IFERROR(IF(AA47&gt;0,Z47/AA47,"-"),"-")</f>
        <v/>
      </c>
      <c r="AC47" s="75" t="n">
        <v>2</v>
      </c>
      <c r="AD47" s="74" t="n">
        <v>3</v>
      </c>
      <c r="AE47" s="74">
        <f>IFERROR(IF(AD47&gt;0,AC47/AD47,"-"),"-")</f>
        <v/>
      </c>
      <c r="AF47" s="75" t="n"/>
      <c r="AG47" s="74" t="n"/>
      <c r="AH47" s="74">
        <f>IFERROR(IF(AG47&gt;0,AF47/AG47,"-"),"-")</f>
        <v/>
      </c>
      <c r="AI47" s="75" t="n">
        <v>1</v>
      </c>
      <c r="AJ47" s="74" t="n"/>
      <c r="AK47" s="74">
        <f>IFERROR(IF(AJ47&gt;0,AI47/AJ47,"-"),"-")</f>
        <v/>
      </c>
      <c r="AL47" s="75" t="n"/>
      <c r="AM47" s="74" t="n"/>
      <c r="AN47" s="74">
        <f>IFERROR(IF(AM47&gt;0,AL47/AM47,"-"),"-")</f>
        <v/>
      </c>
      <c r="AO47" s="75" t="n">
        <v>1</v>
      </c>
      <c r="AP47" s="74" t="n">
        <v>1</v>
      </c>
      <c r="AQ47" s="74">
        <f>IFERROR(IF(AP47&gt;0,AO47/AP47,"-"),"-")</f>
        <v/>
      </c>
      <c r="AR47" s="75" t="n"/>
      <c r="AS47" s="60" t="n"/>
      <c r="AT47" s="60" t="n"/>
    </row>
    <row r="48" ht="15" customHeight="1">
      <c r="A48" s="70" t="n">
        <v>38</v>
      </c>
      <c r="B48" s="71" t="inlineStr">
        <is>
          <t>Oud Collection</t>
        </is>
      </c>
      <c r="C48" s="70" t="inlineStr">
        <is>
          <t>O00006</t>
        </is>
      </c>
      <c r="D48" s="71" t="inlineStr">
        <is>
          <t>Oud Al Fakhamah</t>
        </is>
      </c>
      <c r="E48" s="70" t="n">
        <v>3</v>
      </c>
      <c r="F48" s="72">
        <f>SUM(I48:AP48)</f>
        <v/>
      </c>
      <c r="G48" s="72">
        <f>SUM(J48:AQ48)</f>
        <v/>
      </c>
      <c r="H48" s="73">
        <f>IFERROR(IF(G48&gt;0,F48/G48,"-"),"-")</f>
        <v/>
      </c>
      <c r="I48" s="74" t="n"/>
      <c r="J48" s="74">
        <f>IFERROR(IF(I48&gt;0,H48/I48,"-"),"-")</f>
        <v/>
      </c>
      <c r="K48" s="75" t="n">
        <v>2</v>
      </c>
      <c r="L48" s="74" t="n">
        <v>35</v>
      </c>
      <c r="M48" s="74">
        <f>IFERROR(IF(L48&gt;0,K48/L48,"-"),"-")</f>
        <v/>
      </c>
      <c r="N48" s="75" t="n">
        <v>2</v>
      </c>
      <c r="O48" s="74" t="n">
        <v>32</v>
      </c>
      <c r="P48" s="74">
        <f>IFERROR(IF(O48&gt;0,N48/O48,"-"),"-")</f>
        <v/>
      </c>
      <c r="Q48" s="75" t="n">
        <v>2</v>
      </c>
      <c r="R48" s="74" t="n"/>
      <c r="S48" s="74">
        <f>IFERROR(IF(R48&gt;0,Q48/R48,"-"),"-")</f>
        <v/>
      </c>
      <c r="T48" s="75" t="n">
        <v>5</v>
      </c>
      <c r="U48" s="74" t="n">
        <v>6</v>
      </c>
      <c r="V48" s="74">
        <f>IFERROR(IF(U48&gt;0,T48/U48,"-"),"-")</f>
        <v/>
      </c>
      <c r="W48" s="75" t="n">
        <v>7</v>
      </c>
      <c r="X48" s="74" t="n">
        <v>11</v>
      </c>
      <c r="Y48" s="74">
        <f>IFERROR(IF(X48&gt;0,W48/X48,"-"),"-")</f>
        <v/>
      </c>
      <c r="Z48" s="75" t="n">
        <v>9</v>
      </c>
      <c r="AA48" s="74" t="n">
        <v>23</v>
      </c>
      <c r="AB48" s="74">
        <f>IFERROR(IF(AA48&gt;0,Z48/AA48,"-"),"-")</f>
        <v/>
      </c>
      <c r="AC48" s="75" t="n">
        <v>4</v>
      </c>
      <c r="AD48" s="74" t="n"/>
      <c r="AE48" s="74">
        <f>IFERROR(IF(AD48&gt;0,AC48/AD48,"-"),"-")</f>
        <v/>
      </c>
      <c r="AF48" s="75" t="n"/>
      <c r="AG48" s="74" t="n"/>
      <c r="AH48" s="74">
        <f>IFERROR(IF(AG48&gt;0,AF48/AG48,"-"),"-")</f>
        <v/>
      </c>
      <c r="AI48" s="75" t="n">
        <v>6</v>
      </c>
      <c r="AJ48" s="74" t="n">
        <v>16</v>
      </c>
      <c r="AK48" s="74">
        <f>IFERROR(IF(AJ48&gt;0,AI48/AJ48,"-"),"-")</f>
        <v/>
      </c>
      <c r="AL48" s="75" t="n">
        <v>3</v>
      </c>
      <c r="AM48" s="74" t="n"/>
      <c r="AN48" s="74">
        <f>IFERROR(IF(AM48&gt;0,AL48/AM48,"-"),"-")</f>
        <v/>
      </c>
      <c r="AO48" s="75" t="n">
        <v>2</v>
      </c>
      <c r="AP48" s="74" t="n">
        <v>27</v>
      </c>
      <c r="AQ48" s="74">
        <f>IFERROR(IF(AP48&gt;0,AO48/AP48,"-"),"-")</f>
        <v/>
      </c>
      <c r="AR48" s="75" t="n">
        <v>5</v>
      </c>
      <c r="AS48" s="60" t="n"/>
      <c r="AT48" s="60" t="n"/>
    </row>
    <row r="49" ht="15" customHeight="1">
      <c r="A49" s="70" t="n">
        <v>39</v>
      </c>
      <c r="B49" s="71" t="inlineStr">
        <is>
          <t>Oud Collection</t>
        </is>
      </c>
      <c r="C49" s="70" t="inlineStr">
        <is>
          <t>O00007</t>
        </is>
      </c>
      <c r="D49" s="71" t="inlineStr">
        <is>
          <t>Oud Hindi Khas - AGARWOOD BOX -42g</t>
        </is>
      </c>
      <c r="E49" s="70" t="n"/>
      <c r="F49" s="72">
        <f>SUM(I49:AP49)</f>
        <v/>
      </c>
      <c r="G49" s="72">
        <f>SUM(J49:AQ49)</f>
        <v/>
      </c>
      <c r="H49" s="73">
        <f>IFERROR(IF(G49&gt;0,F49/G49,"-"),"-")</f>
        <v/>
      </c>
      <c r="I49" s="74" t="n"/>
      <c r="J49" s="74">
        <f>IFERROR(IF(I49&gt;0,H49/I49,"-"),"-")</f>
        <v/>
      </c>
      <c r="K49" s="75" t="n"/>
      <c r="L49" s="74" t="n"/>
      <c r="M49" s="74">
        <f>IFERROR(IF(L49&gt;0,K49/L49,"-"),"-")</f>
        <v/>
      </c>
      <c r="N49" s="75" t="n">
        <v>1</v>
      </c>
      <c r="O49" s="74" t="n"/>
      <c r="P49" s="74">
        <f>IFERROR(IF(O49&gt;0,N49/O49,"-"),"-")</f>
        <v/>
      </c>
      <c r="Q49" s="75" t="n"/>
      <c r="R49" s="74" t="n">
        <v>3</v>
      </c>
      <c r="S49" s="74">
        <f>IFERROR(IF(R49&gt;0,Q49/R49,"-"),"-")</f>
        <v/>
      </c>
      <c r="T49" s="75" t="n"/>
      <c r="U49" s="74" t="n"/>
      <c r="V49" s="74">
        <f>IFERROR(IF(U49&gt;0,T49/U49,"-"),"-")</f>
        <v/>
      </c>
      <c r="W49" s="75" t="n">
        <v>1</v>
      </c>
      <c r="X49" s="74" t="n">
        <v>1</v>
      </c>
      <c r="Y49" s="74">
        <f>IFERROR(IF(X49&gt;0,W49/X49,"-"),"-")</f>
        <v/>
      </c>
      <c r="Z49" s="75" t="n"/>
      <c r="AA49" s="74" t="n">
        <v>1</v>
      </c>
      <c r="AB49" s="74">
        <f>IFERROR(IF(AA49&gt;0,Z49/AA49,"-"),"-")</f>
        <v/>
      </c>
      <c r="AC49" s="75" t="n"/>
      <c r="AD49" s="74" t="n">
        <v>3</v>
      </c>
      <c r="AE49" s="74">
        <f>IFERROR(IF(AD49&gt;0,AC49/AD49,"-"),"-")</f>
        <v/>
      </c>
      <c r="AF49" s="75" t="n"/>
      <c r="AG49" s="74" t="n"/>
      <c r="AH49" s="74">
        <f>IFERROR(IF(AG49&gt;0,AF49/AG49,"-"),"-")</f>
        <v/>
      </c>
      <c r="AI49" s="75" t="n"/>
      <c r="AJ49" s="74" t="n"/>
      <c r="AK49" s="74">
        <f>IFERROR(IF(AJ49&gt;0,AI49/AJ49,"-"),"-")</f>
        <v/>
      </c>
      <c r="AL49" s="75" t="n"/>
      <c r="AM49" s="74" t="n"/>
      <c r="AN49" s="74">
        <f>IFERROR(IF(AM49&gt;0,AL49/AM49,"-"),"-")</f>
        <v/>
      </c>
      <c r="AO49" s="75" t="n">
        <v>1</v>
      </c>
      <c r="AP49" s="74" t="n">
        <v>1</v>
      </c>
      <c r="AQ49" s="74">
        <f>IFERROR(IF(AP49&gt;0,AO49/AP49,"-"),"-")</f>
        <v/>
      </c>
      <c r="AR49" s="75" t="n"/>
      <c r="AS49" s="60" t="n"/>
      <c r="AT49" s="60" t="n"/>
    </row>
    <row r="50" ht="15" customHeight="1">
      <c r="A50" s="70" t="n">
        <v>40</v>
      </c>
      <c r="B50" s="71" t="inlineStr">
        <is>
          <t>Oud Collection</t>
        </is>
      </c>
      <c r="C50" s="70" t="inlineStr">
        <is>
          <t>O00008</t>
        </is>
      </c>
      <c r="D50" s="71" t="inlineStr">
        <is>
          <t>Oud Hindi Malaki -AGARWOOD BOX 42g</t>
        </is>
      </c>
      <c r="E50" s="70" t="n"/>
      <c r="F50" s="72">
        <f>SUM(I50:AP50)</f>
        <v/>
      </c>
      <c r="G50" s="72">
        <f>SUM(J50:AQ50)</f>
        <v/>
      </c>
      <c r="H50" s="73">
        <f>IFERROR(IF(G50&gt;0,F50/G50,"-"),"-")</f>
        <v/>
      </c>
      <c r="I50" s="74" t="n"/>
      <c r="J50" s="74">
        <f>IFERROR(IF(I50&gt;0,H50/I50,"-"),"-")</f>
        <v/>
      </c>
      <c r="K50" s="75" t="n">
        <v>1</v>
      </c>
      <c r="L50" s="74" t="n"/>
      <c r="M50" s="74">
        <f>IFERROR(IF(L50&gt;0,K50/L50,"-"),"-")</f>
        <v/>
      </c>
      <c r="N50" s="75" t="n"/>
      <c r="O50" s="74" t="n"/>
      <c r="P50" s="74">
        <f>IFERROR(IF(O50&gt;0,N50/O50,"-"),"-")</f>
        <v/>
      </c>
      <c r="Q50" s="75" t="n"/>
      <c r="R50" s="74" t="n">
        <v>1</v>
      </c>
      <c r="S50" s="74">
        <f>IFERROR(IF(R50&gt;0,Q50/R50,"-"),"-")</f>
        <v/>
      </c>
      <c r="T50" s="75" t="n"/>
      <c r="U50" s="74" t="n"/>
      <c r="V50" s="74">
        <f>IFERROR(IF(U50&gt;0,T50/U50,"-"),"-")</f>
        <v/>
      </c>
      <c r="W50" s="75" t="n">
        <v>1</v>
      </c>
      <c r="X50" s="74" t="n"/>
      <c r="Y50" s="74">
        <f>IFERROR(IF(X50&gt;0,W50/X50,"-"),"-")</f>
        <v/>
      </c>
      <c r="Z50" s="75" t="n"/>
      <c r="AA50" s="74" t="n"/>
      <c r="AB50" s="74">
        <f>IFERROR(IF(AA50&gt;0,Z50/AA50,"-"),"-")</f>
        <v/>
      </c>
      <c r="AC50" s="75" t="n"/>
      <c r="AD50" s="74" t="n"/>
      <c r="AE50" s="74">
        <f>IFERROR(IF(AD50&gt;0,AC50/AD50,"-"),"-")</f>
        <v/>
      </c>
      <c r="AF50" s="75" t="n"/>
      <c r="AG50" s="74" t="n"/>
      <c r="AH50" s="74">
        <f>IFERROR(IF(AG50&gt;0,AF50/AG50,"-"),"-")</f>
        <v/>
      </c>
      <c r="AI50" s="75" t="n"/>
      <c r="AJ50" s="74" t="n"/>
      <c r="AK50" s="74">
        <f>IFERROR(IF(AJ50&gt;0,AI50/AJ50,"-"),"-")</f>
        <v/>
      </c>
      <c r="AL50" s="75" t="n"/>
      <c r="AM50" s="74" t="n"/>
      <c r="AN50" s="74">
        <f>IFERROR(IF(AM50&gt;0,AL50/AM50,"-"),"-")</f>
        <v/>
      </c>
      <c r="AO50" s="75" t="n">
        <v>1</v>
      </c>
      <c r="AP50" s="74" t="n"/>
      <c r="AQ50" s="74">
        <f>IFERROR(IF(AP50&gt;0,AO50/AP50,"-"),"-")</f>
        <v/>
      </c>
      <c r="AR50" s="75" t="n">
        <v>1</v>
      </c>
      <c r="AS50" s="60" t="n"/>
      <c r="AT50" s="60" t="n"/>
    </row>
    <row r="51" ht="15" customHeight="1">
      <c r="A51" s="76" t="inlineStr">
        <is>
          <t xml:space="preserve">  FUTURE COLLECTION</t>
        </is>
      </c>
      <c r="B51" s="77" t="n"/>
      <c r="C51" s="77" t="n"/>
      <c r="D51" s="77" t="n"/>
      <c r="E51" s="77" t="n"/>
      <c r="F51" s="72">
        <f>SUM(I51:AP51)</f>
        <v/>
      </c>
      <c r="G51" s="72">
        <f>SUM(J51:AQ51)</f>
        <v/>
      </c>
      <c r="H51" s="73">
        <f>IFERROR(IF(G51&gt;0,F51/G51,"-"),"-")</f>
        <v/>
      </c>
      <c r="I51" s="74" t="n"/>
      <c r="J51" s="74">
        <f>IFERROR(IF(I51&gt;0,H51/I51,"-"),"-")</f>
        <v/>
      </c>
      <c r="K51" s="75" t="n">
        <v>1</v>
      </c>
      <c r="L51" s="74" t="n"/>
      <c r="M51" s="74">
        <f>IFERROR(IF(L51&gt;0,K51/L51,"-"),"-")</f>
        <v/>
      </c>
      <c r="N51" s="75" t="n"/>
      <c r="O51" s="74" t="n"/>
      <c r="P51" s="74">
        <f>IFERROR(IF(O51&gt;0,N51/O51,"-"),"-")</f>
        <v/>
      </c>
      <c r="Q51" s="75" t="n"/>
      <c r="R51" s="74" t="n"/>
      <c r="S51" s="74">
        <f>IFERROR(IF(R51&gt;0,Q51/R51,"-"),"-")</f>
        <v/>
      </c>
      <c r="T51" s="75" t="n"/>
      <c r="U51" s="74" t="n">
        <v>2</v>
      </c>
      <c r="V51" s="74">
        <f>IFERROR(IF(U51&gt;0,T51/U51,"-"),"-")</f>
        <v/>
      </c>
      <c r="W51" s="75" t="n">
        <v>2</v>
      </c>
      <c r="X51" s="74" t="n">
        <v>2</v>
      </c>
      <c r="Y51" s="74">
        <f>IFERROR(IF(X51&gt;0,W51/X51,"-"),"-")</f>
        <v/>
      </c>
      <c r="Z51" s="75" t="n">
        <v>1</v>
      </c>
      <c r="AA51" s="74" t="n">
        <v>3</v>
      </c>
      <c r="AB51" s="74">
        <f>IFERROR(IF(AA51&gt;0,Z51/AA51,"-"),"-")</f>
        <v/>
      </c>
      <c r="AC51" s="75" t="n">
        <v>1</v>
      </c>
      <c r="AD51" s="74" t="n">
        <v>2</v>
      </c>
      <c r="AE51" s="74">
        <f>IFERROR(IF(AD51&gt;0,AC51/AD51,"-"),"-")</f>
        <v/>
      </c>
      <c r="AF51" s="75" t="n"/>
      <c r="AG51" s="74" t="n"/>
      <c r="AH51" s="74">
        <f>IFERROR(IF(AG51&gt;0,AF51/AG51,"-"),"-")</f>
        <v/>
      </c>
      <c r="AI51" s="75" t="n"/>
      <c r="AJ51" s="74" t="n"/>
      <c r="AK51" s="74">
        <f>IFERROR(IF(AJ51&gt;0,AI51/AJ51,"-"),"-")</f>
        <v/>
      </c>
      <c r="AL51" s="75" t="n"/>
      <c r="AM51" s="74" t="n"/>
      <c r="AN51" s="74">
        <f>IFERROR(IF(AM51&gt;0,AL51/AM51,"-"),"-")</f>
        <v/>
      </c>
      <c r="AO51" s="75" t="n">
        <v>1</v>
      </c>
      <c r="AP51" s="74" t="n"/>
      <c r="AQ51" s="74">
        <f>IFERROR(IF(AP51&gt;0,AO51/AP51,"-"),"-")</f>
        <v/>
      </c>
      <c r="AR51" s="75" t="n"/>
      <c r="AS51" s="59" t="n"/>
      <c r="AT51" s="59" t="n"/>
    </row>
    <row r="52" ht="15" customHeight="1">
      <c r="A52" s="70" t="n">
        <v>41</v>
      </c>
      <c r="B52" s="71" t="inlineStr">
        <is>
          <t>Future Collection</t>
        </is>
      </c>
      <c r="C52" s="70" t="inlineStr">
        <is>
          <t>SP0037</t>
        </is>
      </c>
      <c r="D52" s="71" t="inlineStr">
        <is>
          <t>Future Bakhoor 100 ml Perfume</t>
        </is>
      </c>
      <c r="E52" s="70" t="n"/>
      <c r="F52" s="72">
        <f>SUM(I52:AP52)</f>
        <v/>
      </c>
      <c r="G52" s="72">
        <f>SUM(J52:AQ52)</f>
        <v/>
      </c>
      <c r="H52" s="73">
        <f>IFERROR(IF(G52&gt;0,F52/G52,"-"),"-")</f>
        <v/>
      </c>
      <c r="I52" s="74" t="n"/>
      <c r="J52" s="74">
        <f>IFERROR(IF(I52&gt;0,H52/I52,"-"),"-")</f>
        <v/>
      </c>
      <c r="K52" s="75" t="n"/>
      <c r="L52" s="74" t="n">
        <v>1</v>
      </c>
      <c r="M52" s="74">
        <f>IFERROR(IF(L52&gt;0,K52/L52,"-"),"-")</f>
        <v/>
      </c>
      <c r="N52" s="75" t="n"/>
      <c r="O52" s="74" t="n"/>
      <c r="P52" s="74">
        <f>IFERROR(IF(O52&gt;0,N52/O52,"-"),"-")</f>
        <v/>
      </c>
      <c r="Q52" s="75" t="n">
        <v>1</v>
      </c>
      <c r="R52" s="74" t="n">
        <v>2</v>
      </c>
      <c r="S52" s="74">
        <f>IFERROR(IF(R52&gt;0,Q52/R52,"-"),"-")</f>
        <v/>
      </c>
      <c r="T52" s="75" t="n"/>
      <c r="U52" s="74" t="n">
        <v>3</v>
      </c>
      <c r="V52" s="74">
        <f>IFERROR(IF(U52&gt;0,T52/U52,"-"),"-")</f>
        <v/>
      </c>
      <c r="W52" s="75" t="n"/>
      <c r="X52" s="74" t="n">
        <v>2</v>
      </c>
      <c r="Y52" s="74">
        <f>IFERROR(IF(X52&gt;0,W52/X52,"-"),"-")</f>
        <v/>
      </c>
      <c r="Z52" s="75" t="n"/>
      <c r="AA52" s="74" t="n">
        <v>2</v>
      </c>
      <c r="AB52" s="74">
        <f>IFERROR(IF(AA52&gt;0,Z52/AA52,"-"),"-")</f>
        <v/>
      </c>
      <c r="AC52" s="75" t="n">
        <v>2</v>
      </c>
      <c r="AD52" s="74" t="n">
        <v>1</v>
      </c>
      <c r="AE52" s="74">
        <f>IFERROR(IF(AD52&gt;0,AC52/AD52,"-"),"-")</f>
        <v/>
      </c>
      <c r="AF52" s="75" t="n"/>
      <c r="AG52" s="74" t="n"/>
      <c r="AH52" s="74">
        <f>IFERROR(IF(AG52&gt;0,AF52/AG52,"-"),"-")</f>
        <v/>
      </c>
      <c r="AI52" s="75" t="n"/>
      <c r="AJ52" s="74" t="n"/>
      <c r="AK52" s="74">
        <f>IFERROR(IF(AJ52&gt;0,AI52/AJ52,"-"),"-")</f>
        <v/>
      </c>
      <c r="AL52" s="75" t="n"/>
      <c r="AM52" s="74" t="n"/>
      <c r="AN52" s="74">
        <f>IFERROR(IF(AM52&gt;0,AL52/AM52,"-"),"-")</f>
        <v/>
      </c>
      <c r="AO52" s="75" t="n">
        <v>1</v>
      </c>
      <c r="AP52" s="74" t="n">
        <v>3</v>
      </c>
      <c r="AQ52" s="74">
        <f>IFERROR(IF(AP52&gt;0,AO52/AP52,"-"),"-")</f>
        <v/>
      </c>
      <c r="AR52" s="75" t="n">
        <v>2</v>
      </c>
      <c r="AS52" s="60" t="n"/>
      <c r="AT52" s="60" t="n"/>
    </row>
    <row r="53" ht="15" customHeight="1">
      <c r="A53" s="70" t="n">
        <v>42</v>
      </c>
      <c r="B53" s="71" t="inlineStr">
        <is>
          <t>Future Collection</t>
        </is>
      </c>
      <c r="C53" s="70" t="inlineStr">
        <is>
          <t>SP0038</t>
        </is>
      </c>
      <c r="D53" s="71" t="inlineStr">
        <is>
          <t>Future Oud 100 ml Perfume</t>
        </is>
      </c>
      <c r="E53" s="70" t="n"/>
      <c r="F53" s="72">
        <f>SUM(I53:AP53)</f>
        <v/>
      </c>
      <c r="G53" s="72">
        <f>SUM(J53:AQ53)</f>
        <v/>
      </c>
      <c r="H53" s="73">
        <f>IFERROR(IF(G53&gt;0,F53/G53,"-"),"-")</f>
        <v/>
      </c>
      <c r="I53" s="74" t="n"/>
      <c r="J53" s="74">
        <f>IFERROR(IF(I53&gt;0,H53/I53,"-"),"-")</f>
        <v/>
      </c>
      <c r="K53" s="75" t="n"/>
      <c r="L53" s="74" t="n"/>
      <c r="M53" s="74">
        <f>IFERROR(IF(L53&gt;0,K53/L53,"-"),"-")</f>
        <v/>
      </c>
      <c r="N53" s="75" t="n"/>
      <c r="O53" s="74" t="n"/>
      <c r="P53" s="74">
        <f>IFERROR(IF(O53&gt;0,N53/O53,"-"),"-")</f>
        <v/>
      </c>
      <c r="Q53" s="75" t="n">
        <v>1</v>
      </c>
      <c r="R53" s="74" t="n"/>
      <c r="S53" s="74">
        <f>IFERROR(IF(R53&gt;0,Q53/R53,"-"),"-")</f>
        <v/>
      </c>
      <c r="T53" s="75" t="n"/>
      <c r="U53" s="74" t="n"/>
      <c r="V53" s="74">
        <f>IFERROR(IF(U53&gt;0,T53/U53,"-"),"-")</f>
        <v/>
      </c>
      <c r="W53" s="75" t="n">
        <v>1</v>
      </c>
      <c r="X53" s="74" t="n"/>
      <c r="Y53" s="74">
        <f>IFERROR(IF(X53&gt;0,W53/X53,"-"),"-")</f>
        <v/>
      </c>
      <c r="Z53" s="75" t="n"/>
      <c r="AA53" s="74" t="n">
        <v>1</v>
      </c>
      <c r="AB53" s="74">
        <f>IFERROR(IF(AA53&gt;0,Z53/AA53,"-"),"-")</f>
        <v/>
      </c>
      <c r="AC53" s="75" t="n">
        <v>2</v>
      </c>
      <c r="AD53" s="74" t="n"/>
      <c r="AE53" s="74">
        <f>IFERROR(IF(AD53&gt;0,AC53/AD53,"-"),"-")</f>
        <v/>
      </c>
      <c r="AF53" s="75" t="n"/>
      <c r="AG53" s="74" t="n"/>
      <c r="AH53" s="74">
        <f>IFERROR(IF(AG53&gt;0,AF53/AG53,"-"),"-")</f>
        <v/>
      </c>
      <c r="AI53" s="75" t="n"/>
      <c r="AJ53" s="74" t="n"/>
      <c r="AK53" s="74">
        <f>IFERROR(IF(AJ53&gt;0,AI53/AJ53,"-"),"-")</f>
        <v/>
      </c>
      <c r="AL53" s="75" t="n"/>
      <c r="AM53" s="74" t="n"/>
      <c r="AN53" s="74">
        <f>IFERROR(IF(AM53&gt;0,AL53/AM53,"-"),"-")</f>
        <v/>
      </c>
      <c r="AO53" s="75" t="n">
        <v>1</v>
      </c>
      <c r="AP53" s="74" t="n"/>
      <c r="AQ53" s="74">
        <f>IFERROR(IF(AP53&gt;0,AO53/AP53,"-"),"-")</f>
        <v/>
      </c>
      <c r="AR53" s="75" t="n"/>
      <c r="AS53" s="60" t="n"/>
      <c r="AT53" s="60" t="n"/>
    </row>
    <row r="54" ht="15" customHeight="1">
      <c r="A54" s="76" t="inlineStr">
        <is>
          <t xml:space="preserve">  SPECIAL SETS</t>
        </is>
      </c>
      <c r="B54" s="77" t="n"/>
      <c r="C54" s="77" t="n"/>
      <c r="D54" s="77" t="n"/>
      <c r="E54" s="77" t="n"/>
      <c r="F54" s="72">
        <f>SUM(I54:AP54)</f>
        <v/>
      </c>
      <c r="G54" s="72">
        <f>SUM(J54:AQ54)</f>
        <v/>
      </c>
      <c r="H54" s="73">
        <f>IFERROR(IF(G54&gt;0,F54/G54,"-"),"-")</f>
        <v/>
      </c>
      <c r="I54" s="74" t="n">
        <v>1</v>
      </c>
      <c r="J54" s="74">
        <f>IFERROR(IF(I54&gt;0,H54/I54,"-"),"-")</f>
        <v/>
      </c>
      <c r="K54" s="75" t="n">
        <v>1</v>
      </c>
      <c r="L54" s="74" t="n"/>
      <c r="M54" s="74">
        <f>IFERROR(IF(L54&gt;0,K54/L54,"-"),"-")</f>
        <v/>
      </c>
      <c r="N54" s="75" t="n"/>
      <c r="O54" s="74" t="n"/>
      <c r="P54" s="74">
        <f>IFERROR(IF(O54&gt;0,N54/O54,"-"),"-")</f>
        <v/>
      </c>
      <c r="Q54" s="75" t="n">
        <v>1</v>
      </c>
      <c r="R54" s="74" t="n">
        <v>1</v>
      </c>
      <c r="S54" s="74">
        <f>IFERROR(IF(R54&gt;0,Q54/R54,"-"),"-")</f>
        <v/>
      </c>
      <c r="T54" s="75" t="n"/>
      <c r="U54" s="74" t="n"/>
      <c r="V54" s="74">
        <f>IFERROR(IF(U54&gt;0,T54/U54,"-"),"-")</f>
        <v/>
      </c>
      <c r="W54" s="75" t="n">
        <v>1</v>
      </c>
      <c r="X54" s="74" t="n"/>
      <c r="Y54" s="74">
        <f>IFERROR(IF(X54&gt;0,W54/X54,"-"),"-")</f>
        <v/>
      </c>
      <c r="Z54" s="75" t="n"/>
      <c r="AA54" s="74" t="n">
        <v>1</v>
      </c>
      <c r="AB54" s="74">
        <f>IFERROR(IF(AA54&gt;0,Z54/AA54,"-"),"-")</f>
        <v/>
      </c>
      <c r="AC54" s="75" t="n">
        <v>2</v>
      </c>
      <c r="AD54" s="74" t="n">
        <v>2</v>
      </c>
      <c r="AE54" s="74">
        <f>IFERROR(IF(AD54&gt;0,AC54/AD54,"-"),"-")</f>
        <v/>
      </c>
      <c r="AF54" s="75" t="n"/>
      <c r="AG54" s="74" t="n"/>
      <c r="AH54" s="74">
        <f>IFERROR(IF(AG54&gt;0,AF54/AG54,"-"),"-")</f>
        <v/>
      </c>
      <c r="AI54" s="75" t="n"/>
      <c r="AJ54" s="74" t="n"/>
      <c r="AK54" s="74">
        <f>IFERROR(IF(AJ54&gt;0,AI54/AJ54,"-"),"-")</f>
        <v/>
      </c>
      <c r="AL54" s="75" t="n"/>
      <c r="AM54" s="74" t="n"/>
      <c r="AN54" s="74">
        <f>IFERROR(IF(AM54&gt;0,AL54/AM54,"-"),"-")</f>
        <v/>
      </c>
      <c r="AO54" s="75" t="n">
        <v>1</v>
      </c>
      <c r="AP54" s="74" t="n"/>
      <c r="AQ54" s="74">
        <f>IFERROR(IF(AP54&gt;0,AO54/AP54,"-"),"-")</f>
        <v/>
      </c>
      <c r="AR54" s="75" t="n">
        <v>1</v>
      </c>
      <c r="AS54" s="59" t="n"/>
      <c r="AT54" s="59" t="n"/>
    </row>
    <row r="55" ht="15" customHeight="1">
      <c r="A55" s="70" t="n">
        <v>43</v>
      </c>
      <c r="B55" s="71" t="inlineStr">
        <is>
          <t>Special Sets</t>
        </is>
      </c>
      <c r="C55" s="70" t="inlineStr">
        <is>
          <t>SP0001</t>
        </is>
      </c>
      <c r="D55" s="71" t="inlineStr">
        <is>
          <t>White Oud</t>
        </is>
      </c>
      <c r="E55" s="70" t="n">
        <v>3</v>
      </c>
      <c r="F55" s="72">
        <f>SUM(I55:AP55)</f>
        <v/>
      </c>
      <c r="G55" s="72">
        <f>SUM(J55:AQ55)</f>
        <v/>
      </c>
      <c r="H55" s="73">
        <f>IFERROR(IF(G55&gt;0,F55/G55,"-"),"-")</f>
        <v/>
      </c>
      <c r="I55" s="74" t="n">
        <v>2</v>
      </c>
      <c r="J55" s="74">
        <f>IFERROR(IF(I55&gt;0,H55/I55,"-"),"-")</f>
        <v/>
      </c>
      <c r="K55" s="75" t="n">
        <v>1</v>
      </c>
      <c r="L55" s="74" t="n"/>
      <c r="M55" s="74">
        <f>IFERROR(IF(L55&gt;0,K55/L55,"-"),"-")</f>
        <v/>
      </c>
      <c r="N55" s="75" t="n">
        <v>1</v>
      </c>
      <c r="O55" s="74" t="n"/>
      <c r="P55" s="74">
        <f>IFERROR(IF(O55&gt;0,N55/O55,"-"),"-")</f>
        <v/>
      </c>
      <c r="Q55" s="75" t="n">
        <v>1</v>
      </c>
      <c r="R55" s="74" t="n">
        <v>1</v>
      </c>
      <c r="S55" s="74">
        <f>IFERROR(IF(R55&gt;0,Q55/R55,"-"),"-")</f>
        <v/>
      </c>
      <c r="T55" s="75" t="n">
        <v>1</v>
      </c>
      <c r="U55" s="74" t="n"/>
      <c r="V55" s="74">
        <f>IFERROR(IF(U55&gt;0,T55/U55,"-"),"-")</f>
        <v/>
      </c>
      <c r="W55" s="75" t="n">
        <v>1</v>
      </c>
      <c r="X55" s="74" t="n">
        <v>2</v>
      </c>
      <c r="Y55" s="74">
        <f>IFERROR(IF(X55&gt;0,W55/X55,"-"),"-")</f>
        <v/>
      </c>
      <c r="Z55" s="75" t="n">
        <v>2</v>
      </c>
      <c r="AA55" s="74" t="n">
        <v>1</v>
      </c>
      <c r="AB55" s="74">
        <f>IFERROR(IF(AA55&gt;0,Z55/AA55,"-"),"-")</f>
        <v/>
      </c>
      <c r="AC55" s="75" t="n">
        <v>1</v>
      </c>
      <c r="AD55" s="74" t="n">
        <v>2</v>
      </c>
      <c r="AE55" s="74">
        <f>IFERROR(IF(AD55&gt;0,AC55/AD55,"-"),"-")</f>
        <v/>
      </c>
      <c r="AF55" s="75" t="n"/>
      <c r="AG55" s="74" t="n"/>
      <c r="AH55" s="74">
        <f>IFERROR(IF(AG55&gt;0,AF55/AG55,"-"),"-")</f>
        <v/>
      </c>
      <c r="AI55" s="75" t="n">
        <v>1</v>
      </c>
      <c r="AJ55" s="74" t="n"/>
      <c r="AK55" s="74">
        <f>IFERROR(IF(AJ55&gt;0,AI55/AJ55,"-"),"-")</f>
        <v/>
      </c>
      <c r="AL55" s="75" t="n"/>
      <c r="AM55" s="74" t="n">
        <v>1</v>
      </c>
      <c r="AN55" s="74">
        <f>IFERROR(IF(AM55&gt;0,AL55/AM55,"-"),"-")</f>
        <v/>
      </c>
      <c r="AO55" s="75" t="n">
        <v>2</v>
      </c>
      <c r="AP55" s="74" t="n"/>
      <c r="AQ55" s="74">
        <f>IFERROR(IF(AP55&gt;0,AO55/AP55,"-"),"-")</f>
        <v/>
      </c>
      <c r="AR55" s="75" t="n">
        <v>1</v>
      </c>
      <c r="AS55" s="60" t="n"/>
      <c r="AT55" s="60" t="n"/>
    </row>
    <row r="56" ht="15" customHeight="1">
      <c r="A56" s="70" t="n">
        <v>44</v>
      </c>
      <c r="B56" s="71" t="inlineStr">
        <is>
          <t>Special Sets</t>
        </is>
      </c>
      <c r="C56" s="70" t="inlineStr">
        <is>
          <t>SP0005</t>
        </is>
      </c>
      <c r="D56" s="71" t="inlineStr">
        <is>
          <t>No.4</t>
        </is>
      </c>
      <c r="E56" s="70" t="n"/>
      <c r="F56" s="72">
        <f>SUM(I56:AP56)</f>
        <v/>
      </c>
      <c r="G56" s="72">
        <f>SUM(J56:AQ56)</f>
        <v/>
      </c>
      <c r="H56" s="73">
        <f>IFERROR(IF(G56&gt;0,F56/G56,"-"),"-")</f>
        <v/>
      </c>
      <c r="I56" s="74" t="n">
        <v>1</v>
      </c>
      <c r="J56" s="74">
        <f>IFERROR(IF(I56&gt;0,H56/I56,"-"),"-")</f>
        <v/>
      </c>
      <c r="K56" s="75" t="n"/>
      <c r="L56" s="74" t="n"/>
      <c r="M56" s="74">
        <f>IFERROR(IF(L56&gt;0,K56/L56,"-"),"-")</f>
        <v/>
      </c>
      <c r="N56" s="75" t="n"/>
      <c r="O56" s="74" t="n"/>
      <c r="P56" s="74">
        <f>IFERROR(IF(O56&gt;0,N56/O56,"-"),"-")</f>
        <v/>
      </c>
      <c r="Q56" s="75" t="n"/>
      <c r="R56" s="74" t="n">
        <v>4</v>
      </c>
      <c r="S56" s="74">
        <f>IFERROR(IF(R56&gt;0,Q56/R56,"-"),"-")</f>
        <v/>
      </c>
      <c r="T56" s="75" t="n">
        <v>1</v>
      </c>
      <c r="U56" s="74" t="n">
        <v>4</v>
      </c>
      <c r="V56" s="74">
        <f>IFERROR(IF(U56&gt;0,T56/U56,"-"),"-")</f>
        <v/>
      </c>
      <c r="W56" s="75" t="n">
        <v>1</v>
      </c>
      <c r="X56" s="74" t="n">
        <v>3</v>
      </c>
      <c r="Y56" s="74">
        <f>IFERROR(IF(X56&gt;0,W56/X56,"-"),"-")</f>
        <v/>
      </c>
      <c r="Z56" s="75" t="n"/>
      <c r="AA56" s="74" t="n">
        <v>3</v>
      </c>
      <c r="AB56" s="74">
        <f>IFERROR(IF(AA56&gt;0,Z56/AA56,"-"),"-")</f>
        <v/>
      </c>
      <c r="AC56" s="75" t="n"/>
      <c r="AD56" s="74" t="n">
        <v>2</v>
      </c>
      <c r="AE56" s="74">
        <f>IFERROR(IF(AD56&gt;0,AC56/AD56,"-"),"-")</f>
        <v/>
      </c>
      <c r="AF56" s="75" t="n"/>
      <c r="AG56" s="74" t="n"/>
      <c r="AH56" s="74">
        <f>IFERROR(IF(AG56&gt;0,AF56/AG56,"-"),"-")</f>
        <v/>
      </c>
      <c r="AI56" s="75" t="n">
        <v>1</v>
      </c>
      <c r="AJ56" s="74" t="n">
        <v>2</v>
      </c>
      <c r="AK56" s="74">
        <f>IFERROR(IF(AJ56&gt;0,AI56/AJ56,"-"),"-")</f>
        <v/>
      </c>
      <c r="AL56" s="75" t="n"/>
      <c r="AM56" s="74" t="n">
        <v>1</v>
      </c>
      <c r="AN56" s="74">
        <f>IFERROR(IF(AM56&gt;0,AL56/AM56,"-"),"-")</f>
        <v/>
      </c>
      <c r="AO56" s="75" t="n"/>
      <c r="AP56" s="74" t="n"/>
      <c r="AQ56" s="74">
        <f>IFERROR(IF(AP56&gt;0,AO56/AP56,"-"),"-")</f>
        <v/>
      </c>
      <c r="AR56" s="75" t="n">
        <v>1</v>
      </c>
      <c r="AS56" s="60" t="n"/>
      <c r="AT56" s="60" t="n"/>
    </row>
    <row r="57" ht="15" customHeight="1">
      <c r="A57" s="70" t="n">
        <v>45</v>
      </c>
      <c r="B57" s="71" t="inlineStr">
        <is>
          <t>Special Sets</t>
        </is>
      </c>
      <c r="C57" s="70" t="inlineStr">
        <is>
          <t>SP0006</t>
        </is>
      </c>
      <c r="D57" s="71" t="inlineStr">
        <is>
          <t>More Of Oud</t>
        </is>
      </c>
      <c r="E57" s="70" t="n">
        <v>3</v>
      </c>
      <c r="F57" s="72">
        <f>SUM(I57:AP57)</f>
        <v/>
      </c>
      <c r="G57" s="72">
        <f>SUM(J57:AQ57)</f>
        <v/>
      </c>
      <c r="H57" s="73">
        <f>IFERROR(IF(G57&gt;0,F57/G57,"-"),"-")</f>
        <v/>
      </c>
      <c r="I57" s="74" t="n">
        <v>6</v>
      </c>
      <c r="J57" s="74">
        <f>IFERROR(IF(I57&gt;0,H57/I57,"-"),"-")</f>
        <v/>
      </c>
      <c r="K57" s="75" t="n">
        <v>3</v>
      </c>
      <c r="L57" s="74" t="n">
        <v>21</v>
      </c>
      <c r="M57" s="74">
        <f>IFERROR(IF(L57&gt;0,K57/L57,"-"),"-")</f>
        <v/>
      </c>
      <c r="N57" s="75" t="n">
        <v>2</v>
      </c>
      <c r="O57" s="74" t="n">
        <v>6</v>
      </c>
      <c r="P57" s="74">
        <f>IFERROR(IF(O57&gt;0,N57/O57,"-"),"-")</f>
        <v/>
      </c>
      <c r="Q57" s="75" t="n">
        <v>2</v>
      </c>
      <c r="R57" s="74" t="n">
        <v>13</v>
      </c>
      <c r="S57" s="74">
        <f>IFERROR(IF(R57&gt;0,Q57/R57,"-"),"-")</f>
        <v/>
      </c>
      <c r="T57" s="75" t="n">
        <v>4</v>
      </c>
      <c r="U57" s="74" t="n">
        <v>11</v>
      </c>
      <c r="V57" s="74">
        <f>IFERROR(IF(U57&gt;0,T57/U57,"-"),"-")</f>
        <v/>
      </c>
      <c r="W57" s="75" t="n">
        <v>5</v>
      </c>
      <c r="X57" s="74" t="n">
        <v>10</v>
      </c>
      <c r="Y57" s="74">
        <f>IFERROR(IF(X57&gt;0,W57/X57,"-"),"-")</f>
        <v/>
      </c>
      <c r="Z57" s="75" t="n">
        <v>6</v>
      </c>
      <c r="AA57" s="74" t="n">
        <v>26</v>
      </c>
      <c r="AB57" s="74">
        <f>IFERROR(IF(AA57&gt;0,Z57/AA57,"-"),"-")</f>
        <v/>
      </c>
      <c r="AC57" s="75" t="n">
        <v>5</v>
      </c>
      <c r="AD57" s="74" t="n">
        <v>30</v>
      </c>
      <c r="AE57" s="74">
        <f>IFERROR(IF(AD57&gt;0,AC57/AD57,"-"),"-")</f>
        <v/>
      </c>
      <c r="AF57" s="75" t="n"/>
      <c r="AG57" s="74" t="n"/>
      <c r="AH57" s="74">
        <f>IFERROR(IF(AG57&gt;0,AF57/AG57,"-"),"-")</f>
        <v/>
      </c>
      <c r="AI57" s="75" t="n">
        <v>2</v>
      </c>
      <c r="AJ57" s="74" t="n">
        <v>9</v>
      </c>
      <c r="AK57" s="74">
        <f>IFERROR(IF(AJ57&gt;0,AI57/AJ57,"-"),"-")</f>
        <v/>
      </c>
      <c r="AL57" s="75" t="n">
        <v>4</v>
      </c>
      <c r="AM57" s="74" t="n">
        <v>9</v>
      </c>
      <c r="AN57" s="74">
        <f>IFERROR(IF(AM57&gt;0,AL57/AM57,"-"),"-")</f>
        <v/>
      </c>
      <c r="AO57" s="75" t="n">
        <v>3</v>
      </c>
      <c r="AP57" s="74" t="n">
        <v>12</v>
      </c>
      <c r="AQ57" s="74">
        <f>IFERROR(IF(AP57&gt;0,AO57/AP57,"-"),"-")</f>
        <v/>
      </c>
      <c r="AR57" s="75" t="n">
        <v>3</v>
      </c>
      <c r="AS57" s="60" t="n"/>
      <c r="AT57" s="60" t="n"/>
    </row>
    <row r="58" ht="15" customHeight="1">
      <c r="A58" s="70" t="n">
        <v>46</v>
      </c>
      <c r="B58" s="71" t="inlineStr">
        <is>
          <t>Special Sets</t>
        </is>
      </c>
      <c r="C58" s="70" t="inlineStr">
        <is>
          <t>SP0007</t>
        </is>
      </c>
      <c r="D58" s="71" t="inlineStr">
        <is>
          <t>Reflection -T 100 ML</t>
        </is>
      </c>
      <c r="E58" s="70" t="n"/>
      <c r="F58" s="72">
        <f>SUM(I58:AP58)</f>
        <v/>
      </c>
      <c r="G58" s="72">
        <f>SUM(J58:AQ58)</f>
        <v/>
      </c>
      <c r="H58" s="73">
        <f>IFERROR(IF(G58&gt;0,F58/G58,"-"),"-")</f>
        <v/>
      </c>
      <c r="I58" s="74" t="n"/>
      <c r="J58" s="74">
        <f>IFERROR(IF(I58&gt;0,H58/I58,"-"),"-")</f>
        <v/>
      </c>
      <c r="K58" s="75" t="n">
        <v>1</v>
      </c>
      <c r="L58" s="74" t="n"/>
      <c r="M58" s="74">
        <f>IFERROR(IF(L58&gt;0,K58/L58,"-"),"-")</f>
        <v/>
      </c>
      <c r="N58" s="75" t="n"/>
      <c r="O58" s="74" t="n"/>
      <c r="P58" s="74">
        <f>IFERROR(IF(O58&gt;0,N58/O58,"-"),"-")</f>
        <v/>
      </c>
      <c r="Q58" s="75" t="n"/>
      <c r="R58" s="74" t="n"/>
      <c r="S58" s="74">
        <f>IFERROR(IF(R58&gt;0,Q58/R58,"-"),"-")</f>
        <v/>
      </c>
      <c r="T58" s="75" t="n"/>
      <c r="U58" s="74" t="n"/>
      <c r="V58" s="74">
        <f>IFERROR(IF(U58&gt;0,T58/U58,"-"),"-")</f>
        <v/>
      </c>
      <c r="W58" s="75" t="n"/>
      <c r="X58" s="74" t="n"/>
      <c r="Y58" s="74">
        <f>IFERROR(IF(X58&gt;0,W58/X58,"-"),"-")</f>
        <v/>
      </c>
      <c r="Z58" s="75" t="n"/>
      <c r="AA58" s="74" t="n"/>
      <c r="AB58" s="74">
        <f>IFERROR(IF(AA58&gt;0,Z58/AA58,"-"),"-")</f>
        <v/>
      </c>
      <c r="AC58" s="75" t="n"/>
      <c r="AD58" s="74" t="n"/>
      <c r="AE58" s="74">
        <f>IFERROR(IF(AD58&gt;0,AC58/AD58,"-"),"-")</f>
        <v/>
      </c>
      <c r="AF58" s="75" t="n"/>
      <c r="AG58" s="74" t="n"/>
      <c r="AH58" s="74">
        <f>IFERROR(IF(AG58&gt;0,AF58/AG58,"-"),"-")</f>
        <v/>
      </c>
      <c r="AI58" s="75" t="n"/>
      <c r="AJ58" s="74" t="n"/>
      <c r="AK58" s="74">
        <f>IFERROR(IF(AJ58&gt;0,AI58/AJ58,"-"),"-")</f>
        <v/>
      </c>
      <c r="AL58" s="75" t="n"/>
      <c r="AM58" s="74" t="n"/>
      <c r="AN58" s="74">
        <f>IFERROR(IF(AM58&gt;0,AL58/AM58,"-"),"-")</f>
        <v/>
      </c>
      <c r="AO58" s="75" t="n"/>
      <c r="AP58" s="74" t="n"/>
      <c r="AQ58" s="74">
        <f>IFERROR(IF(AP58&gt;0,AO58/AP58,"-"),"-")</f>
        <v/>
      </c>
      <c r="AR58" s="75" t="n">
        <v>1</v>
      </c>
      <c r="AS58" s="60" t="n"/>
      <c r="AT58" s="60" t="n"/>
    </row>
    <row r="59" ht="15" customHeight="1">
      <c r="A59" s="70" t="n">
        <v>47</v>
      </c>
      <c r="B59" s="71" t="inlineStr">
        <is>
          <t>Special Sets</t>
        </is>
      </c>
      <c r="C59" s="70" t="inlineStr">
        <is>
          <t>SP0017</t>
        </is>
      </c>
      <c r="D59" s="71" t="inlineStr">
        <is>
          <t>White Oud Oil 8ml</t>
        </is>
      </c>
      <c r="E59" s="70" t="n"/>
      <c r="F59" s="72">
        <f>SUM(I59:AP59)</f>
        <v/>
      </c>
      <c r="G59" s="72">
        <f>SUM(J59:AQ59)</f>
        <v/>
      </c>
      <c r="H59" s="73">
        <f>IFERROR(IF(G59&gt;0,F59/G59,"-"),"-")</f>
        <v/>
      </c>
      <c r="I59" s="74" t="n">
        <v>1</v>
      </c>
      <c r="J59" s="74">
        <f>IFERROR(IF(I59&gt;0,H59/I59,"-"),"-")</f>
        <v/>
      </c>
      <c r="K59" s="75" t="n">
        <v>1</v>
      </c>
      <c r="L59" s="74" t="n">
        <v>11</v>
      </c>
      <c r="M59" s="74">
        <f>IFERROR(IF(L59&gt;0,K59/L59,"-"),"-")</f>
        <v/>
      </c>
      <c r="N59" s="75" t="n"/>
      <c r="O59" s="74" t="n">
        <v>9</v>
      </c>
      <c r="P59" s="74">
        <f>IFERROR(IF(O59&gt;0,N59/O59,"-"),"-")</f>
        <v/>
      </c>
      <c r="Q59" s="75" t="n"/>
      <c r="R59" s="74" t="n"/>
      <c r="S59" s="74">
        <f>IFERROR(IF(R59&gt;0,Q59/R59,"-"),"-")</f>
        <v/>
      </c>
      <c r="T59" s="75" t="n"/>
      <c r="U59" s="74" t="n">
        <v>3</v>
      </c>
      <c r="V59" s="74">
        <f>IFERROR(IF(U59&gt;0,T59/U59,"-"),"-")</f>
        <v/>
      </c>
      <c r="W59" s="75" t="n"/>
      <c r="X59" s="74" t="n">
        <v>1</v>
      </c>
      <c r="Y59" s="74">
        <f>IFERROR(IF(X59&gt;0,W59/X59,"-"),"-")</f>
        <v/>
      </c>
      <c r="Z59" s="75" t="n"/>
      <c r="AA59" s="74" t="n">
        <v>6</v>
      </c>
      <c r="AB59" s="74">
        <f>IFERROR(IF(AA59&gt;0,Z59/AA59,"-"),"-")</f>
        <v/>
      </c>
      <c r="AC59" s="75" t="n"/>
      <c r="AD59" s="74" t="n"/>
      <c r="AE59" s="74">
        <f>IFERROR(IF(AD59&gt;0,AC59/AD59,"-"),"-")</f>
        <v/>
      </c>
      <c r="AF59" s="75" t="n"/>
      <c r="AG59" s="74" t="n"/>
      <c r="AH59" s="74">
        <f>IFERROR(IF(AG59&gt;0,AF59/AG59,"-"),"-")</f>
        <v/>
      </c>
      <c r="AI59" s="75" t="n"/>
      <c r="AJ59" s="74" t="n">
        <v>4</v>
      </c>
      <c r="AK59" s="74">
        <f>IFERROR(IF(AJ59&gt;0,AI59/AJ59,"-"),"-")</f>
        <v/>
      </c>
      <c r="AL59" s="75" t="n"/>
      <c r="AM59" s="74" t="n"/>
      <c r="AN59" s="74">
        <f>IFERROR(IF(AM59&gt;0,AL59/AM59,"-"),"-")</f>
        <v/>
      </c>
      <c r="AO59" s="75" t="n"/>
      <c r="AP59" s="74" t="n">
        <v>15</v>
      </c>
      <c r="AQ59" s="74">
        <f>IFERROR(IF(AP59&gt;0,AO59/AP59,"-"),"-")</f>
        <v/>
      </c>
      <c r="AR59" s="75" t="n">
        <v>1</v>
      </c>
      <c r="AS59" s="60" t="n"/>
      <c r="AT59" s="60" t="n"/>
    </row>
    <row r="60" ht="15" customHeight="1">
      <c r="A60" s="70" t="n">
        <v>48</v>
      </c>
      <c r="B60" s="71" t="inlineStr">
        <is>
          <t>Special Sets</t>
        </is>
      </c>
      <c r="C60" s="70" t="inlineStr">
        <is>
          <t>SP0018</t>
        </is>
      </c>
      <c r="D60" s="71" t="inlineStr">
        <is>
          <t>More Of Oud Oil 8ml</t>
        </is>
      </c>
      <c r="E60" s="70" t="n"/>
      <c r="F60" s="72">
        <f>SUM(I60:AP60)</f>
        <v/>
      </c>
      <c r="G60" s="72">
        <f>SUM(J60:AQ60)</f>
        <v/>
      </c>
      <c r="H60" s="73">
        <f>IFERROR(IF(G60&gt;0,F60/G60,"-"),"-")</f>
        <v/>
      </c>
      <c r="I60" s="74" t="n"/>
      <c r="J60" s="74">
        <f>IFERROR(IF(I60&gt;0,H60/I60,"-"),"-")</f>
        <v/>
      </c>
      <c r="K60" s="75" t="n"/>
      <c r="L60" s="74" t="n"/>
      <c r="M60" s="74">
        <f>IFERROR(IF(L60&gt;0,K60/L60,"-"),"-")</f>
        <v/>
      </c>
      <c r="N60" s="75" t="n"/>
      <c r="O60" s="74" t="n"/>
      <c r="P60" s="74">
        <f>IFERROR(IF(O60&gt;0,N60/O60,"-"),"-")</f>
        <v/>
      </c>
      <c r="Q60" s="75" t="n"/>
      <c r="R60" s="74" t="n"/>
      <c r="S60" s="74">
        <f>IFERROR(IF(R60&gt;0,Q60/R60,"-"),"-")</f>
        <v/>
      </c>
      <c r="T60" s="75" t="n">
        <v>1</v>
      </c>
      <c r="U60" s="74" t="n"/>
      <c r="V60" s="74">
        <f>IFERROR(IF(U60&gt;0,T60/U60,"-"),"-")</f>
        <v/>
      </c>
      <c r="W60" s="75" t="n">
        <v>1</v>
      </c>
      <c r="X60" s="74" t="n"/>
      <c r="Y60" s="74">
        <f>IFERROR(IF(X60&gt;0,W60/X60,"-"),"-")</f>
        <v/>
      </c>
      <c r="Z60" s="75" t="n"/>
      <c r="AA60" s="74" t="n"/>
      <c r="AB60" s="74">
        <f>IFERROR(IF(AA60&gt;0,Z60/AA60,"-"),"-")</f>
        <v/>
      </c>
      <c r="AC60" s="75" t="n">
        <v>1</v>
      </c>
      <c r="AD60" s="74" t="n"/>
      <c r="AE60" s="74">
        <f>IFERROR(IF(AD60&gt;0,AC60/AD60,"-"),"-")</f>
        <v/>
      </c>
      <c r="AF60" s="75" t="n"/>
      <c r="AG60" s="74" t="n"/>
      <c r="AH60" s="74">
        <f>IFERROR(IF(AG60&gt;0,AF60/AG60,"-"),"-")</f>
        <v/>
      </c>
      <c r="AI60" s="75" t="n"/>
      <c r="AJ60" s="74" t="n"/>
      <c r="AK60" s="74">
        <f>IFERROR(IF(AJ60&gt;0,AI60/AJ60,"-"),"-")</f>
        <v/>
      </c>
      <c r="AL60" s="75" t="n"/>
      <c r="AM60" s="74" t="n"/>
      <c r="AN60" s="74">
        <f>IFERROR(IF(AM60&gt;0,AL60/AM60,"-"),"-")</f>
        <v/>
      </c>
      <c r="AO60" s="75" t="n"/>
      <c r="AP60" s="74" t="n"/>
      <c r="AQ60" s="74">
        <f>IFERROR(IF(AP60&gt;0,AO60/AP60,"-"),"-")</f>
        <v/>
      </c>
      <c r="AR60" s="75" t="n">
        <v>1</v>
      </c>
      <c r="AS60" s="60" t="n"/>
      <c r="AT60" s="60" t="n"/>
    </row>
    <row r="61" ht="15" customHeight="1">
      <c r="A61" s="76" t="inlineStr">
        <is>
          <t xml:space="preserve">  OILS &amp; CPO</t>
        </is>
      </c>
      <c r="B61" s="77" t="n"/>
      <c r="C61" s="77" t="n"/>
      <c r="D61" s="77" t="n"/>
      <c r="E61" s="77" t="n"/>
      <c r="F61" s="72">
        <f>SUM(I61:AP61)</f>
        <v/>
      </c>
      <c r="G61" s="72">
        <f>SUM(J61:AQ61)</f>
        <v/>
      </c>
      <c r="H61" s="73">
        <f>IFERROR(IF(G61&gt;0,F61/G61,"-"),"-")</f>
        <v/>
      </c>
      <c r="I61" s="74" t="n"/>
      <c r="J61" s="74">
        <f>IFERROR(IF(I61&gt;0,H61/I61,"-"),"-")</f>
        <v/>
      </c>
      <c r="K61" s="75" t="n"/>
      <c r="L61" s="74" t="n"/>
      <c r="M61" s="74">
        <f>IFERROR(IF(L61&gt;0,K61/L61,"-"),"-")</f>
        <v/>
      </c>
      <c r="N61" s="75" t="n"/>
      <c r="O61" s="74" t="n"/>
      <c r="P61" s="74">
        <f>IFERROR(IF(O61&gt;0,N61/O61,"-"),"-")</f>
        <v/>
      </c>
      <c r="Q61" s="75" t="n"/>
      <c r="R61" s="74" t="n">
        <v>4</v>
      </c>
      <c r="S61" s="74">
        <f>IFERROR(IF(R61&gt;0,Q61/R61,"-"),"-")</f>
        <v/>
      </c>
      <c r="T61" s="75" t="n"/>
      <c r="U61" s="74" t="n">
        <v>6</v>
      </c>
      <c r="V61" s="74">
        <f>IFERROR(IF(U61&gt;0,T61/U61,"-"),"-")</f>
        <v/>
      </c>
      <c r="W61" s="75" t="n"/>
      <c r="X61" s="74" t="n">
        <v>5</v>
      </c>
      <c r="Y61" s="74">
        <f>IFERROR(IF(X61&gt;0,W61/X61,"-"),"-")</f>
        <v/>
      </c>
      <c r="Z61" s="75" t="n"/>
      <c r="AA61" s="74" t="n">
        <v>3</v>
      </c>
      <c r="AB61" s="74">
        <f>IFERROR(IF(AA61&gt;0,Z61/AA61,"-"),"-")</f>
        <v/>
      </c>
      <c r="AC61" s="75" t="n"/>
      <c r="AD61" s="74" t="n">
        <v>2</v>
      </c>
      <c r="AE61" s="74">
        <f>IFERROR(IF(AD61&gt;0,AC61/AD61,"-"),"-")</f>
        <v/>
      </c>
      <c r="AF61" s="75" t="n"/>
      <c r="AG61" s="74" t="n"/>
      <c r="AH61" s="74">
        <f>IFERROR(IF(AG61&gt;0,AF61/AG61,"-"),"-")</f>
        <v/>
      </c>
      <c r="AI61" s="75" t="n"/>
      <c r="AJ61" s="74" t="n">
        <v>2</v>
      </c>
      <c r="AK61" s="74">
        <f>IFERROR(IF(AJ61&gt;0,AI61/AJ61,"-"),"-")</f>
        <v/>
      </c>
      <c r="AL61" s="75" t="n"/>
      <c r="AM61" s="74" t="n">
        <v>1</v>
      </c>
      <c r="AN61" s="74">
        <f>IFERROR(IF(AM61&gt;0,AL61/AM61,"-"),"-")</f>
        <v/>
      </c>
      <c r="AO61" s="75" t="n"/>
      <c r="AP61" s="74" t="n">
        <v>1</v>
      </c>
      <c r="AQ61" s="74">
        <f>IFERROR(IF(AP61&gt;0,AO61/AP61,"-"),"-")</f>
        <v/>
      </c>
      <c r="AR61" s="75" t="n">
        <v>1</v>
      </c>
      <c r="AS61" s="59" t="n"/>
      <c r="AT61" s="59" t="n"/>
    </row>
    <row r="62" ht="15" customHeight="1">
      <c r="A62" s="70" t="n">
        <v>49</v>
      </c>
      <c r="B62" s="71" t="inlineStr">
        <is>
          <t>Oils &amp; CPO</t>
        </is>
      </c>
      <c r="C62" s="70" t="inlineStr">
        <is>
          <t>I00001</t>
        </is>
      </c>
      <c r="D62" s="71" t="inlineStr">
        <is>
          <t>Hindi Special</t>
        </is>
      </c>
      <c r="E62" s="70" t="n">
        <v>2</v>
      </c>
      <c r="F62" s="72">
        <f>SUM(I62:AP62)</f>
        <v/>
      </c>
      <c r="G62" s="72">
        <f>SUM(J62:AQ62)</f>
        <v/>
      </c>
      <c r="H62" s="73">
        <f>IFERROR(IF(G62&gt;0,F62/G62,"-"),"-")</f>
        <v/>
      </c>
      <c r="I62" s="74" t="n">
        <v>11</v>
      </c>
      <c r="J62" s="74">
        <f>IFERROR(IF(I62&gt;0,H62/I62,"-"),"-")</f>
        <v/>
      </c>
      <c r="K62" s="75" t="n">
        <v>2</v>
      </c>
      <c r="L62" s="74" t="n"/>
      <c r="M62" s="74">
        <f>IFERROR(IF(L62&gt;0,K62/L62,"-"),"-")</f>
        <v/>
      </c>
      <c r="N62" s="75" t="n">
        <v>1</v>
      </c>
      <c r="O62" s="74" t="n">
        <v>7</v>
      </c>
      <c r="P62" s="74">
        <f>IFERROR(IF(O62&gt;0,N62/O62,"-"),"-")</f>
        <v/>
      </c>
      <c r="Q62" s="75" t="n"/>
      <c r="R62" s="74" t="n">
        <v>30</v>
      </c>
      <c r="S62" s="74">
        <f>IFERROR(IF(R62&gt;0,Q62/R62,"-"),"-")</f>
        <v/>
      </c>
      <c r="T62" s="75" t="n">
        <v>1</v>
      </c>
      <c r="U62" s="74" t="n">
        <v>16</v>
      </c>
      <c r="V62" s="74">
        <f>IFERROR(IF(U62&gt;0,T62/U62,"-"),"-")</f>
        <v/>
      </c>
      <c r="W62" s="75" t="n">
        <v>3</v>
      </c>
      <c r="X62" s="74" t="n">
        <v>16</v>
      </c>
      <c r="Y62" s="74">
        <f>IFERROR(IF(X62&gt;0,W62/X62,"-"),"-")</f>
        <v/>
      </c>
      <c r="Z62" s="75" t="n">
        <v>9</v>
      </c>
      <c r="AA62" s="74" t="n">
        <v>46</v>
      </c>
      <c r="AB62" s="74">
        <f>IFERROR(IF(AA62&gt;0,Z62/AA62,"-"),"-")</f>
        <v/>
      </c>
      <c r="AC62" s="75" t="n">
        <v>1</v>
      </c>
      <c r="AD62" s="74" t="n">
        <v>19</v>
      </c>
      <c r="AE62" s="74">
        <f>IFERROR(IF(AD62&gt;0,AC62/AD62,"-"),"-")</f>
        <v/>
      </c>
      <c r="AF62" s="75" t="n"/>
      <c r="AG62" s="74" t="n"/>
      <c r="AH62" s="74">
        <f>IFERROR(IF(AG62&gt;0,AF62/AG62,"-"),"-")</f>
        <v/>
      </c>
      <c r="AI62" s="75" t="n">
        <v>2</v>
      </c>
      <c r="AJ62" s="74" t="n">
        <v>14</v>
      </c>
      <c r="AK62" s="74">
        <f>IFERROR(IF(AJ62&gt;0,AI62/AJ62,"-"),"-")</f>
        <v/>
      </c>
      <c r="AL62" s="75" t="n">
        <v>1</v>
      </c>
      <c r="AM62" s="74" t="n">
        <v>5</v>
      </c>
      <c r="AN62" s="74">
        <f>IFERROR(IF(AM62&gt;0,AL62/AM62,"-"),"-")</f>
        <v/>
      </c>
      <c r="AO62" s="75" t="n">
        <v>3</v>
      </c>
      <c r="AP62" s="74" t="n">
        <v>16</v>
      </c>
      <c r="AQ62" s="74">
        <f>IFERROR(IF(AP62&gt;0,AO62/AP62,"-"),"-")</f>
        <v/>
      </c>
      <c r="AR62" s="75" t="n">
        <v>2</v>
      </c>
      <c r="AS62" s="60" t="n"/>
      <c r="AT62" s="60" t="n"/>
    </row>
    <row r="63" ht="15" customHeight="1">
      <c r="A63" s="70" t="n">
        <v>50</v>
      </c>
      <c r="B63" s="71" t="inlineStr">
        <is>
          <t>Oils &amp; CPO</t>
        </is>
      </c>
      <c r="C63" s="70" t="inlineStr">
        <is>
          <t>I00002</t>
        </is>
      </c>
      <c r="D63" s="71" t="inlineStr">
        <is>
          <t>Seufi Special</t>
        </is>
      </c>
      <c r="E63" s="70" t="n"/>
      <c r="F63" s="72">
        <f>SUM(I63:AP63)</f>
        <v/>
      </c>
      <c r="G63" s="72">
        <f>SUM(J63:AQ63)</f>
        <v/>
      </c>
      <c r="H63" s="73">
        <f>IFERROR(IF(G63&gt;0,F63/G63,"-"),"-")</f>
        <v/>
      </c>
      <c r="I63" s="74" t="n"/>
      <c r="J63" s="74">
        <f>IFERROR(IF(I63&gt;0,H63/I63,"-"),"-")</f>
        <v/>
      </c>
      <c r="K63" s="75" t="n"/>
      <c r="L63" s="74" t="n"/>
      <c r="M63" s="74">
        <f>IFERROR(IF(L63&gt;0,K63/L63,"-"),"-")</f>
        <v/>
      </c>
      <c r="N63" s="75" t="n"/>
      <c r="O63" s="74" t="n"/>
      <c r="P63" s="74">
        <f>IFERROR(IF(O63&gt;0,N63/O63,"-"),"-")</f>
        <v/>
      </c>
      <c r="Q63" s="75" t="n"/>
      <c r="R63" s="74" t="n"/>
      <c r="S63" s="74">
        <f>IFERROR(IF(R63&gt;0,Q63/R63,"-"),"-")</f>
        <v/>
      </c>
      <c r="T63" s="75" t="n"/>
      <c r="U63" s="74" t="n"/>
      <c r="V63" s="74">
        <f>IFERROR(IF(U63&gt;0,T63/U63,"-"),"-")</f>
        <v/>
      </c>
      <c r="W63" s="75" t="n"/>
      <c r="X63" s="74" t="n"/>
      <c r="Y63" s="74">
        <f>IFERROR(IF(X63&gt;0,W63/X63,"-"),"-")</f>
        <v/>
      </c>
      <c r="Z63" s="75" t="n"/>
      <c r="AA63" s="74" t="n"/>
      <c r="AB63" s="74">
        <f>IFERROR(IF(AA63&gt;0,Z63/AA63,"-"),"-")</f>
        <v/>
      </c>
      <c r="AC63" s="75" t="n">
        <v>2</v>
      </c>
      <c r="AD63" s="74" t="n"/>
      <c r="AE63" s="74">
        <f>IFERROR(IF(AD63&gt;0,AC63/AD63,"-"),"-")</f>
        <v/>
      </c>
      <c r="AF63" s="75" t="n"/>
      <c r="AG63" s="74" t="n"/>
      <c r="AH63" s="74">
        <f>IFERROR(IF(AG63&gt;0,AF63/AG63,"-"),"-")</f>
        <v/>
      </c>
      <c r="AI63" s="75" t="n"/>
      <c r="AJ63" s="74" t="n"/>
      <c r="AK63" s="74">
        <f>IFERROR(IF(AJ63&gt;0,AI63/AJ63,"-"),"-")</f>
        <v/>
      </c>
      <c r="AL63" s="75" t="n"/>
      <c r="AM63" s="74" t="n"/>
      <c r="AN63" s="74">
        <f>IFERROR(IF(AM63&gt;0,AL63/AM63,"-"),"-")</f>
        <v/>
      </c>
      <c r="AO63" s="75" t="n"/>
      <c r="AP63" s="74" t="n"/>
      <c r="AQ63" s="74">
        <f>IFERROR(IF(AP63&gt;0,AO63/AP63,"-"),"-")</f>
        <v/>
      </c>
      <c r="AR63" s="75" t="n"/>
      <c r="AS63" s="60" t="n"/>
      <c r="AT63" s="60" t="n"/>
    </row>
    <row r="64" ht="15" customHeight="1">
      <c r="A64" s="70" t="n">
        <v>51</v>
      </c>
      <c r="B64" s="71" t="inlineStr">
        <is>
          <t>Oils &amp; CPO</t>
        </is>
      </c>
      <c r="C64" s="70" t="inlineStr">
        <is>
          <t>I00003</t>
        </is>
      </c>
      <c r="D64" s="71" t="inlineStr">
        <is>
          <t>White Oil -8 ML</t>
        </is>
      </c>
      <c r="E64" s="70" t="n"/>
      <c r="F64" s="72">
        <f>SUM(I64:AP64)</f>
        <v/>
      </c>
      <c r="G64" s="72">
        <f>SUM(J64:AQ64)</f>
        <v/>
      </c>
      <c r="H64" s="73">
        <f>IFERROR(IF(G64&gt;0,F64/G64,"-"),"-")</f>
        <v/>
      </c>
      <c r="I64" s="74" t="n"/>
      <c r="J64" s="74">
        <f>IFERROR(IF(I64&gt;0,H64/I64,"-"),"-")</f>
        <v/>
      </c>
      <c r="K64" s="75" t="n">
        <v>1</v>
      </c>
      <c r="L64" s="74" t="n"/>
      <c r="M64" s="74">
        <f>IFERROR(IF(L64&gt;0,K64/L64,"-"),"-")</f>
        <v/>
      </c>
      <c r="N64" s="75" t="n"/>
      <c r="O64" s="74" t="n"/>
      <c r="P64" s="74">
        <f>IFERROR(IF(O64&gt;0,N64/O64,"-"),"-")</f>
        <v/>
      </c>
      <c r="Q64" s="75" t="n"/>
      <c r="R64" s="74" t="n"/>
      <c r="S64" s="74">
        <f>IFERROR(IF(R64&gt;0,Q64/R64,"-"),"-")</f>
        <v/>
      </c>
      <c r="T64" s="75" t="n"/>
      <c r="U64" s="74" t="n">
        <v>5</v>
      </c>
      <c r="V64" s="74">
        <f>IFERROR(IF(U64&gt;0,T64/U64,"-"),"-")</f>
        <v/>
      </c>
      <c r="W64" s="75" t="n">
        <v>1</v>
      </c>
      <c r="X64" s="74" t="n"/>
      <c r="Y64" s="74">
        <f>IFERROR(IF(X64&gt;0,W64/X64,"-"),"-")</f>
        <v/>
      </c>
      <c r="Z64" s="75" t="n"/>
      <c r="AA64" s="74" t="n">
        <v>1</v>
      </c>
      <c r="AB64" s="74">
        <f>IFERROR(IF(AA64&gt;0,Z64/AA64,"-"),"-")</f>
        <v/>
      </c>
      <c r="AC64" s="75" t="n">
        <v>1</v>
      </c>
      <c r="AD64" s="74" t="n"/>
      <c r="AE64" s="74">
        <f>IFERROR(IF(AD64&gt;0,AC64/AD64,"-"),"-")</f>
        <v/>
      </c>
      <c r="AF64" s="75" t="n"/>
      <c r="AG64" s="74" t="n"/>
      <c r="AH64" s="74">
        <f>IFERROR(IF(AG64&gt;0,AF64/AG64,"-"),"-")</f>
        <v/>
      </c>
      <c r="AI64" s="75" t="n">
        <v>1</v>
      </c>
      <c r="AJ64" s="74" t="n"/>
      <c r="AK64" s="74">
        <f>IFERROR(IF(AJ64&gt;0,AI64/AJ64,"-"),"-")</f>
        <v/>
      </c>
      <c r="AL64" s="75" t="n">
        <v>1</v>
      </c>
      <c r="AM64" s="74" t="n"/>
      <c r="AN64" s="74">
        <f>IFERROR(IF(AM64&gt;0,AL64/AM64,"-"),"-")</f>
        <v/>
      </c>
      <c r="AO64" s="75" t="n">
        <v>1</v>
      </c>
      <c r="AP64" s="74" t="n"/>
      <c r="AQ64" s="74">
        <f>IFERROR(IF(AP64&gt;0,AO64/AP64,"-"),"-")</f>
        <v/>
      </c>
      <c r="AR64" s="75" t="n"/>
      <c r="AS64" s="60" t="n"/>
      <c r="AT64" s="60" t="n"/>
    </row>
    <row r="65" ht="15" customHeight="1">
      <c r="A65" s="60" t="n"/>
      <c r="B65" s="69" t="n"/>
      <c r="C65" s="60" t="n"/>
      <c r="D65" s="69" t="n"/>
      <c r="E65" s="60" t="n"/>
      <c r="F65" s="60" t="n"/>
      <c r="G65" s="60" t="n"/>
      <c r="H65" s="60" t="n"/>
      <c r="I65" s="60" t="n"/>
      <c r="J65" s="60" t="n"/>
      <c r="K65" s="60" t="n"/>
      <c r="L65" s="60" t="n"/>
      <c r="M65" s="60" t="n"/>
      <c r="N65" s="60" t="n"/>
      <c r="O65" s="60" t="n"/>
      <c r="P65" s="60" t="n"/>
      <c r="Q65" s="60" t="n"/>
      <c r="R65" s="60" t="n"/>
      <c r="S65" s="60" t="n"/>
      <c r="T65" s="60" t="n"/>
      <c r="U65" s="60" t="n"/>
      <c r="V65" s="60" t="n"/>
      <c r="W65" s="60" t="n"/>
      <c r="X65" s="60" t="n"/>
      <c r="Y65" s="60" t="n"/>
      <c r="Z65" s="60" t="n"/>
      <c r="AA65" s="60" t="n"/>
      <c r="AB65" s="60" t="n"/>
      <c r="AC65" s="60" t="n"/>
      <c r="AD65" s="60" t="n"/>
      <c r="AE65" s="60" t="n"/>
      <c r="AF65" s="60" t="n"/>
      <c r="AG65" s="60" t="n"/>
      <c r="AH65" s="60" t="n"/>
      <c r="AI65" s="60" t="n"/>
      <c r="AJ65" s="60" t="n"/>
      <c r="AK65" s="60" t="n"/>
      <c r="AL65" s="60" t="n"/>
      <c r="AM65" s="60" t="n"/>
      <c r="AN65" s="60" t="n"/>
      <c r="AO65" s="60" t="n"/>
      <c r="AP65" s="60" t="n"/>
      <c r="AQ65" s="60" t="n"/>
      <c r="AR65" s="60" t="n"/>
      <c r="AS65" s="60" t="n"/>
      <c r="AT65" s="60" t="n"/>
    </row>
    <row r="66" ht="15" customHeight="1">
      <c r="A66" s="60" t="n"/>
      <c r="B66" s="69" t="n"/>
      <c r="C66" s="60" t="n"/>
      <c r="D66" s="69" t="n"/>
      <c r="E66" s="60" t="n"/>
      <c r="F66" s="60" t="n"/>
      <c r="G66" s="60" t="n"/>
      <c r="H66" s="60" t="n"/>
      <c r="I66" s="60" t="n"/>
      <c r="J66" s="60" t="n"/>
      <c r="K66" s="60" t="n"/>
      <c r="L66" s="60" t="n"/>
      <c r="M66" s="60" t="n"/>
      <c r="N66" s="60" t="n"/>
      <c r="O66" s="60" t="n"/>
      <c r="P66" s="60" t="n"/>
      <c r="Q66" s="60" t="n"/>
      <c r="R66" s="60" t="n"/>
      <c r="S66" s="60" t="n"/>
      <c r="T66" s="60" t="n"/>
      <c r="U66" s="60" t="n"/>
      <c r="V66" s="60" t="n"/>
      <c r="W66" s="60" t="n"/>
      <c r="X66" s="60" t="n"/>
      <c r="Y66" s="60" t="n"/>
      <c r="Z66" s="60" t="n"/>
      <c r="AA66" s="60" t="n"/>
      <c r="AB66" s="60" t="n"/>
      <c r="AC66" s="60" t="n"/>
      <c r="AD66" s="60" t="n"/>
      <c r="AE66" s="60" t="n"/>
      <c r="AF66" s="60" t="n"/>
      <c r="AG66" s="60" t="n"/>
      <c r="AH66" s="60" t="n"/>
      <c r="AI66" s="60" t="n"/>
      <c r="AJ66" s="60" t="n"/>
      <c r="AK66" s="60" t="n"/>
      <c r="AL66" s="60" t="n"/>
      <c r="AM66" s="60" t="n"/>
      <c r="AN66" s="60" t="n"/>
      <c r="AO66" s="60" t="n"/>
      <c r="AP66" s="60" t="n"/>
      <c r="AQ66" s="60" t="n"/>
      <c r="AR66" s="60" t="n"/>
      <c r="AS66" s="60" t="n"/>
      <c r="AT66" s="60" t="n"/>
    </row>
    <row r="67" ht="15" customHeight="1">
      <c r="A67" s="60" t="n"/>
      <c r="B67" s="69" t="n"/>
      <c r="C67" s="60" t="n"/>
      <c r="D67" s="69" t="n"/>
      <c r="E67" s="60" t="n"/>
      <c r="F67" s="60" t="n"/>
      <c r="G67" s="60" t="n"/>
      <c r="H67" s="60" t="n"/>
      <c r="I67" s="60" t="n"/>
      <c r="J67" s="60" t="n"/>
      <c r="K67" s="60" t="n"/>
      <c r="L67" s="60" t="n"/>
      <c r="M67" s="60" t="n"/>
      <c r="N67" s="60" t="n"/>
      <c r="O67" s="60" t="n"/>
      <c r="P67" s="60" t="n"/>
      <c r="Q67" s="60" t="n"/>
      <c r="R67" s="60" t="n"/>
      <c r="S67" s="60" t="n"/>
      <c r="T67" s="60" t="n"/>
      <c r="U67" s="60" t="n"/>
      <c r="V67" s="60" t="n"/>
      <c r="W67" s="60" t="n"/>
      <c r="X67" s="60" t="n"/>
      <c r="Y67" s="60" t="n"/>
      <c r="Z67" s="60" t="n"/>
      <c r="AA67" s="60" t="n"/>
      <c r="AB67" s="60" t="n"/>
      <c r="AC67" s="60" t="n"/>
      <c r="AD67" s="60" t="n"/>
      <c r="AE67" s="60" t="n"/>
      <c r="AF67" s="60" t="n"/>
      <c r="AG67" s="60" t="n"/>
      <c r="AH67" s="60" t="n"/>
      <c r="AI67" s="60" t="n"/>
      <c r="AJ67" s="60" t="n"/>
      <c r="AK67" s="60" t="n"/>
      <c r="AL67" s="60" t="n"/>
      <c r="AM67" s="60" t="n"/>
      <c r="AN67" s="60" t="n"/>
      <c r="AO67" s="60" t="n"/>
      <c r="AP67" s="60" t="n"/>
      <c r="AQ67" s="60" t="n"/>
      <c r="AR67" s="60" t="n"/>
      <c r="AS67" s="60" t="n"/>
      <c r="AT67" s="60" t="n"/>
    </row>
    <row r="68" ht="15" customHeight="1">
      <c r="A68" s="60" t="n"/>
      <c r="B68" s="69" t="n"/>
      <c r="C68" s="60" t="n"/>
      <c r="D68" s="69" t="n"/>
      <c r="E68" s="60" t="n"/>
      <c r="F68" s="60" t="n"/>
      <c r="G68" s="60" t="n"/>
      <c r="H68" s="60" t="n"/>
      <c r="I68" s="60" t="n"/>
      <c r="J68" s="60" t="n"/>
      <c r="K68" s="60" t="n"/>
      <c r="L68" s="60" t="n"/>
      <c r="M68" s="60" t="n"/>
      <c r="N68" s="60" t="n"/>
      <c r="O68" s="60" t="n"/>
      <c r="P68" s="60" t="n"/>
      <c r="Q68" s="60" t="n"/>
      <c r="R68" s="60" t="n"/>
      <c r="S68" s="60" t="n"/>
      <c r="T68" s="60" t="n"/>
      <c r="U68" s="60" t="n"/>
      <c r="V68" s="60" t="n"/>
      <c r="W68" s="60" t="n"/>
      <c r="X68" s="60" t="n"/>
      <c r="Y68" s="60" t="n"/>
      <c r="Z68" s="60" t="n"/>
      <c r="AA68" s="60" t="n"/>
      <c r="AB68" s="60" t="n"/>
      <c r="AC68" s="60" t="n"/>
      <c r="AD68" s="60" t="n"/>
      <c r="AE68" s="60" t="n"/>
      <c r="AF68" s="60" t="n"/>
      <c r="AG68" s="60" t="n"/>
      <c r="AH68" s="60" t="n"/>
      <c r="AI68" s="60" t="n"/>
      <c r="AJ68" s="60" t="n"/>
      <c r="AK68" s="60" t="n"/>
      <c r="AL68" s="60" t="n"/>
      <c r="AM68" s="60" t="n"/>
      <c r="AN68" s="60" t="n"/>
      <c r="AO68" s="60" t="n"/>
      <c r="AP68" s="60" t="n"/>
      <c r="AQ68" s="60" t="n"/>
      <c r="AR68" s="60" t="n"/>
      <c r="AS68" s="60" t="n"/>
      <c r="AT68" s="60" t="n"/>
    </row>
    <row r="69" ht="15" customHeight="1">
      <c r="A69" s="68" t="n"/>
      <c r="B69" s="59" t="n"/>
      <c r="C69" s="59" t="n"/>
      <c r="D69" s="59" t="n"/>
      <c r="E69" s="59" t="n"/>
      <c r="F69" s="59" t="n"/>
      <c r="G69" s="59" t="n"/>
      <c r="H69" s="59" t="n"/>
      <c r="I69" s="59" t="n"/>
      <c r="J69" s="59" t="n"/>
      <c r="K69" s="59" t="n"/>
      <c r="L69" s="59" t="n"/>
      <c r="M69" s="59" t="n"/>
      <c r="N69" s="59" t="n"/>
      <c r="O69" s="59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  <c r="AC69" s="59" t="n"/>
      <c r="AD69" s="59" t="n"/>
      <c r="AE69" s="59" t="n"/>
      <c r="AF69" s="59" t="n"/>
      <c r="AG69" s="59" t="n"/>
      <c r="AH69" s="59" t="n"/>
      <c r="AI69" s="59" t="n"/>
      <c r="AJ69" s="59" t="n"/>
      <c r="AK69" s="59" t="n"/>
      <c r="AL69" s="59" t="n"/>
      <c r="AM69" s="59" t="n"/>
      <c r="AN69" s="59" t="n"/>
      <c r="AO69" s="59" t="n"/>
      <c r="AP69" s="59" t="n"/>
      <c r="AQ69" s="59" t="n"/>
      <c r="AR69" s="59" t="n"/>
      <c r="AS69" s="59" t="n"/>
      <c r="AT69" s="59" t="n"/>
    </row>
    <row r="70" ht="15" customHeight="1">
      <c r="A70" s="60" t="n"/>
      <c r="B70" s="69" t="n"/>
      <c r="C70" s="60" t="n"/>
      <c r="D70" s="69" t="n"/>
      <c r="E70" s="60" t="n"/>
      <c r="F70" s="60" t="n"/>
      <c r="G70" s="60" t="n"/>
      <c r="H70" s="60" t="n"/>
      <c r="I70" s="60" t="n"/>
      <c r="J70" s="60" t="n"/>
      <c r="K70" s="60" t="n"/>
      <c r="L70" s="60" t="n"/>
      <c r="M70" s="60" t="n"/>
      <c r="N70" s="60" t="n"/>
      <c r="O70" s="60" t="n"/>
      <c r="P70" s="60" t="n"/>
      <c r="Q70" s="60" t="n"/>
      <c r="R70" s="60" t="n"/>
      <c r="S70" s="60" t="n"/>
      <c r="T70" s="60" t="n"/>
      <c r="U70" s="60" t="n"/>
      <c r="V70" s="60" t="n"/>
      <c r="W70" s="60" t="n"/>
      <c r="X70" s="60" t="n"/>
      <c r="Y70" s="60" t="n"/>
      <c r="Z70" s="60" t="n"/>
      <c r="AA70" s="60" t="n"/>
      <c r="AB70" s="60" t="n"/>
      <c r="AC70" s="60" t="n"/>
      <c r="AD70" s="60" t="n"/>
      <c r="AE70" s="60" t="n"/>
      <c r="AF70" s="60" t="n"/>
      <c r="AG70" s="60" t="n"/>
      <c r="AH70" s="60" t="n"/>
      <c r="AI70" s="60" t="n"/>
      <c r="AJ70" s="60" t="n"/>
      <c r="AK70" s="60" t="n"/>
      <c r="AL70" s="60" t="n"/>
      <c r="AM70" s="60" t="n"/>
      <c r="AN70" s="60" t="n"/>
      <c r="AO70" s="60" t="n"/>
      <c r="AP70" s="60" t="n"/>
      <c r="AQ70" s="60" t="n"/>
      <c r="AR70" s="60" t="n"/>
      <c r="AS70" s="60" t="n"/>
      <c r="AT70" s="60" t="n"/>
    </row>
    <row r="71" ht="15" customHeight="1">
      <c r="A71" s="60" t="n"/>
      <c r="B71" s="69" t="n"/>
      <c r="C71" s="60" t="n"/>
      <c r="D71" s="69" t="n"/>
      <c r="E71" s="60" t="n"/>
      <c r="F71" s="60" t="n"/>
      <c r="G71" s="60" t="n"/>
      <c r="H71" s="60" t="n"/>
      <c r="I71" s="60" t="n"/>
      <c r="J71" s="60" t="n"/>
      <c r="K71" s="60" t="n"/>
      <c r="L71" s="60" t="n"/>
      <c r="M71" s="60" t="n"/>
      <c r="N71" s="60" t="n"/>
      <c r="O71" s="60" t="n"/>
      <c r="P71" s="60" t="n"/>
      <c r="Q71" s="60" t="n"/>
      <c r="R71" s="60" t="n"/>
      <c r="S71" s="60" t="n"/>
      <c r="T71" s="60" t="n"/>
      <c r="U71" s="60" t="n"/>
      <c r="V71" s="60" t="n"/>
      <c r="W71" s="60" t="n"/>
      <c r="X71" s="60" t="n"/>
      <c r="Y71" s="60" t="n"/>
      <c r="Z71" s="60" t="n"/>
      <c r="AA71" s="60" t="n"/>
      <c r="AB71" s="60" t="n"/>
      <c r="AC71" s="60" t="n"/>
      <c r="AD71" s="60" t="n"/>
      <c r="AE71" s="60" t="n"/>
      <c r="AF71" s="60" t="n"/>
      <c r="AG71" s="60" t="n"/>
      <c r="AH71" s="60" t="n"/>
      <c r="AI71" s="60" t="n"/>
      <c r="AJ71" s="60" t="n"/>
      <c r="AK71" s="60" t="n"/>
      <c r="AL71" s="60" t="n"/>
      <c r="AM71" s="60" t="n"/>
      <c r="AN71" s="60" t="n"/>
      <c r="AO71" s="60" t="n"/>
      <c r="AP71" s="60" t="n"/>
      <c r="AQ71" s="60" t="n"/>
      <c r="AR71" s="60" t="n"/>
      <c r="AS71" s="60" t="n"/>
      <c r="AT71" s="60" t="n"/>
    </row>
  </sheetData>
  <mergeCells count="14">
    <mergeCell ref="AA3"/>
    <mergeCell ref="AG3"/>
    <mergeCell ref="AM3"/>
    <mergeCell ref="A2:AZ2"/>
    <mergeCell ref="AD3"/>
    <mergeCell ref="O3"/>
    <mergeCell ref="AP3"/>
    <mergeCell ref="L3"/>
    <mergeCell ref="X3"/>
    <mergeCell ref="A1:AZ1"/>
    <mergeCell ref="AJ3"/>
    <mergeCell ref="I3"/>
    <mergeCell ref="U3"/>
    <mergeCell ref="R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A237E"/>
    <outlinePr summaryBelow="1" summaryRight="1"/>
    <pageSetUpPr/>
  </sheetPr>
  <dimension ref="A1:AZ64"/>
  <sheetViews>
    <sheetView showGridLines="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2" customWidth="1" min="4" max="4"/>
    <col width="25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7.5" customWidth="1" min="18" max="18"/>
    <col width="9" customWidth="1" min="19" max="19"/>
  </cols>
  <sheetData>
    <row r="1" ht="25" customHeight="1">
      <c r="A1" s="55" t="inlineStr">
        <is>
          <t>EMIRATES PRIDE PERFUMES | TESTER CONSUMPTION | MAR 2026 | IMAD</t>
        </is>
      </c>
    </row>
    <row r="2" ht="14" customHeight="1">
      <c r="A2" s="56" t="inlineStr">
        <is>
          <t>T=Testers Dispatched (blue) | S=Sales Generated (green) | Contrib%=Contribution %</t>
        </is>
      </c>
    </row>
    <row r="3" ht="30" customHeight="1">
      <c r="A3" s="57" t="inlineStr">
        <is>
          <t>#</t>
        </is>
      </c>
      <c r="B3" s="57" t="inlineStr">
        <is>
          <t>Category</t>
        </is>
      </c>
      <c r="C3" s="57" t="inlineStr">
        <is>
          <t>Sub-Category</t>
        </is>
      </c>
      <c r="D3" s="57" t="inlineStr">
        <is>
          <t>SKU Code</t>
        </is>
      </c>
      <c r="E3" s="57" t="inlineStr">
        <is>
          <t>Product Name</t>
        </is>
      </c>
      <c r="F3" s="57" t="inlineStr">
        <is>
          <t>Grand Total
Testers</t>
        </is>
      </c>
      <c r="G3" s="57" t="inlineStr">
        <is>
          <t>Grand Total
Sales</t>
        </is>
      </c>
      <c r="H3" s="57" t="inlineStr">
        <is>
          <t>Grand Total
Contrib%</t>
        </is>
      </c>
      <c r="I3" s="58" t="inlineStr">
        <is>
          <t>Mirdif CC</t>
        </is>
      </c>
      <c r="J3" s="59" t="n"/>
      <c r="K3" s="60" t="n"/>
      <c r="L3" s="58" t="inlineStr">
        <is>
          <t>Dubai Hills</t>
        </is>
      </c>
      <c r="M3" s="59" t="n"/>
      <c r="N3" s="60" t="n"/>
      <c r="O3" s="58" t="inlineStr">
        <is>
          <t>Dubai Fest City</t>
        </is>
      </c>
      <c r="P3" s="59" t="n"/>
      <c r="Q3" s="60" t="n"/>
      <c r="R3" s="59" t="n"/>
      <c r="S3" s="59" t="n"/>
    </row>
    <row r="4" ht="44" customHeight="1">
      <c r="A4" s="61" t="n"/>
      <c r="B4" s="61" t="n"/>
      <c r="C4" s="61" t="n"/>
      <c r="D4" s="61" t="n"/>
      <c r="E4" s="61" t="n"/>
      <c r="F4" s="61" t="inlineStr">
        <is>
          <t>T</t>
        </is>
      </c>
      <c r="G4" s="61" t="inlineStr">
        <is>
          <t>S</t>
        </is>
      </c>
      <c r="H4" s="61" t="inlineStr">
        <is>
          <t>Contrib%</t>
        </is>
      </c>
      <c r="I4" s="62" t="inlineStr">
        <is>
          <t>T</t>
        </is>
      </c>
      <c r="J4" s="62" t="inlineStr">
        <is>
          <t>S</t>
        </is>
      </c>
      <c r="K4" s="62" t="inlineStr">
        <is>
          <t>Contrib%</t>
        </is>
      </c>
      <c r="L4" s="62" t="inlineStr">
        <is>
          <t>T</t>
        </is>
      </c>
      <c r="M4" s="62" t="inlineStr">
        <is>
          <t>S</t>
        </is>
      </c>
      <c r="N4" s="62" t="inlineStr">
        <is>
          <t>Contrib%</t>
        </is>
      </c>
      <c r="O4" s="62" t="inlineStr">
        <is>
          <t>T</t>
        </is>
      </c>
      <c r="P4" s="62" t="inlineStr">
        <is>
          <t>S</t>
        </is>
      </c>
      <c r="Q4" s="62" t="inlineStr">
        <is>
          <t>Contrib%</t>
        </is>
      </c>
      <c r="R4" s="60" t="n"/>
      <c r="S4" s="60" t="n"/>
    </row>
    <row r="5" ht="20" customHeight="1">
      <c r="A5" s="63" t="inlineStr">
        <is>
          <t>GRAND TOTAL</t>
        </is>
      </c>
      <c r="B5" s="59" t="n"/>
      <c r="C5" s="59" t="n"/>
      <c r="D5" s="59" t="n"/>
      <c r="E5" s="60" t="n"/>
      <c r="F5" s="64">
        <f>SUM(F12:F64)</f>
        <v/>
      </c>
      <c r="G5" s="64">
        <f>SUM(G12:G64)</f>
        <v/>
      </c>
      <c r="H5" s="65">
        <f>IFERROR(IF(G5&gt;0,F5/G5,"-"),"-")</f>
        <v/>
      </c>
      <c r="I5" s="66">
        <f>SUM(I12:I64)</f>
        <v/>
      </c>
      <c r="J5" s="66">
        <f>SUM(J12:J64)</f>
        <v/>
      </c>
      <c r="K5" s="67">
        <f>IFERROR(IF(J5&gt;0,I5/J5,"-"),"-")</f>
        <v/>
      </c>
      <c r="L5" s="66">
        <f>SUM(L12:L64)</f>
        <v/>
      </c>
      <c r="M5" s="66">
        <f>SUM(M12:M64)</f>
        <v/>
      </c>
      <c r="N5" s="67">
        <f>IFERROR(IF(M5&gt;0,L5/M5,"-"),"-")</f>
        <v/>
      </c>
      <c r="O5" s="66">
        <f>SUM(O12:O64)</f>
        <v/>
      </c>
      <c r="P5" s="66">
        <f>SUM(P12:P64)</f>
        <v/>
      </c>
      <c r="Q5" s="67">
        <f>IFERROR(IF(P5&gt;0,O5/P5,"-"),"-")</f>
        <v/>
      </c>
      <c r="R5" s="60" t="n"/>
      <c r="S5" s="60" t="n"/>
    </row>
    <row r="6" ht="15" customHeight="1">
      <c r="A6" s="68" t="n"/>
      <c r="B6" s="59" t="n"/>
      <c r="C6" s="59" t="n"/>
      <c r="D6" s="59" t="n"/>
      <c r="E6" s="59" t="n"/>
      <c r="F6" s="59" t="n"/>
      <c r="G6" s="59" t="n"/>
      <c r="H6" s="59" t="n"/>
      <c r="I6" s="59" t="n"/>
      <c r="J6" s="59" t="n"/>
      <c r="K6" s="59" t="n"/>
      <c r="L6" s="59" t="n"/>
      <c r="M6" s="59" t="n"/>
      <c r="N6" s="59" t="n"/>
      <c r="O6" s="59" t="n"/>
      <c r="P6" s="59" t="n"/>
      <c r="Q6" s="59" t="n"/>
      <c r="R6" s="59" t="n"/>
      <c r="S6" s="59" t="n"/>
    </row>
    <row r="7" ht="15" customHeight="1">
      <c r="A7" s="60" t="n"/>
      <c r="B7" s="69" t="n"/>
      <c r="C7" s="60" t="n"/>
      <c r="D7" s="69" t="n"/>
      <c r="E7" s="60" t="n"/>
      <c r="F7" s="60" t="n"/>
      <c r="G7" s="60" t="n"/>
      <c r="H7" s="60" t="n"/>
      <c r="I7" s="60" t="n"/>
      <c r="J7" s="60" t="n"/>
      <c r="K7" s="60" t="n"/>
      <c r="L7" s="60" t="n"/>
      <c r="M7" s="60" t="n"/>
      <c r="N7" s="60" t="n"/>
      <c r="O7" s="60" t="n"/>
      <c r="P7" s="60" t="n"/>
      <c r="Q7" s="60" t="n"/>
      <c r="R7" s="60" t="n"/>
      <c r="S7" s="60" t="n"/>
    </row>
    <row r="8" ht="15" customHeight="1">
      <c r="A8" s="60" t="n"/>
      <c r="B8" s="69" t="n"/>
      <c r="C8" s="60" t="n"/>
      <c r="D8" s="69" t="n"/>
      <c r="E8" s="60" t="n"/>
      <c r="F8" s="60" t="n"/>
      <c r="G8" s="60" t="n"/>
      <c r="H8" s="60" t="n"/>
      <c r="I8" s="60" t="n"/>
      <c r="J8" s="60" t="n"/>
      <c r="K8" s="60" t="n"/>
      <c r="L8" s="60" t="n"/>
      <c r="M8" s="60" t="n"/>
      <c r="N8" s="60" t="n"/>
      <c r="O8" s="60" t="n"/>
      <c r="P8" s="60" t="n"/>
      <c r="Q8" s="60" t="n"/>
      <c r="R8" s="60" t="n"/>
      <c r="S8" s="60" t="n"/>
    </row>
    <row r="9" ht="15" customHeight="1">
      <c r="A9" s="60" t="n"/>
      <c r="B9" s="69" t="n"/>
      <c r="C9" s="60" t="n"/>
      <c r="D9" s="69" t="n"/>
      <c r="E9" s="60" t="n"/>
      <c r="F9" s="60" t="n"/>
      <c r="G9" s="60" t="n"/>
      <c r="H9" s="60" t="n"/>
      <c r="I9" s="60" t="n"/>
      <c r="J9" s="60" t="n"/>
      <c r="K9" s="60" t="n"/>
      <c r="L9" s="60" t="n"/>
      <c r="M9" s="60" t="n"/>
      <c r="N9" s="60" t="n"/>
      <c r="O9" s="60" t="n"/>
      <c r="P9" s="60" t="n"/>
      <c r="Q9" s="60" t="n"/>
      <c r="R9" s="60" t="n"/>
      <c r="S9" s="60" t="n"/>
    </row>
    <row r="10" ht="15" customHeight="1">
      <c r="A10" s="60" t="n"/>
      <c r="B10" s="69" t="n"/>
      <c r="C10" s="60" t="n"/>
      <c r="D10" s="69" t="n"/>
      <c r="E10" s="60" t="n"/>
      <c r="F10" s="60" t="n"/>
      <c r="G10" s="60" t="n"/>
      <c r="H10" s="60" t="n"/>
      <c r="I10" s="60" t="n"/>
      <c r="J10" s="60" t="n"/>
      <c r="K10" s="60" t="n"/>
      <c r="L10" s="60" t="n"/>
      <c r="M10" s="60" t="n"/>
      <c r="N10" s="60" t="n"/>
      <c r="O10" s="60" t="n"/>
      <c r="P10" s="60" t="n"/>
      <c r="Q10" s="60" t="n"/>
      <c r="R10" s="60" t="n"/>
      <c r="S10" s="60" t="n"/>
    </row>
    <row r="11" ht="15" customHeight="1">
      <c r="A11" s="60" t="n"/>
      <c r="B11" s="69" t="n"/>
      <c r="C11" s="60" t="n"/>
      <c r="D11" s="69" t="n"/>
      <c r="E11" s="60" t="n"/>
      <c r="F11" s="60" t="n"/>
      <c r="G11" s="60" t="n"/>
      <c r="H11" s="60" t="n"/>
      <c r="I11" s="60" t="n"/>
      <c r="J11" s="60" t="n"/>
      <c r="K11" s="60" t="n"/>
      <c r="L11" s="60" t="n"/>
      <c r="M11" s="60" t="n"/>
      <c r="N11" s="60" t="n"/>
      <c r="O11" s="60" t="n"/>
      <c r="P11" s="60" t="n"/>
      <c r="Q11" s="60" t="n"/>
      <c r="R11" s="60" t="n"/>
      <c r="S11" s="60" t="n"/>
    </row>
    <row r="12" ht="15" customHeight="1">
      <c r="A12" s="70" t="n">
        <v>6</v>
      </c>
      <c r="B12" s="71" t="inlineStr">
        <is>
          <t>Bel Collections</t>
        </is>
      </c>
      <c r="C12" s="70" t="inlineStr">
        <is>
          <t>B00008</t>
        </is>
      </c>
      <c r="D12" s="71" t="inlineStr">
        <is>
          <t>Midnight Glow</t>
        </is>
      </c>
      <c r="E12" s="70" t="n">
        <v>1</v>
      </c>
      <c r="F12" s="72">
        <f>SUM(I12:O12)</f>
        <v/>
      </c>
      <c r="G12" s="72">
        <f>SUM(J12:P12)</f>
        <v/>
      </c>
      <c r="H12" s="73">
        <f>IFERROR(IF(G12&gt;0,F12/G12,"-"),"-")</f>
        <v/>
      </c>
      <c r="I12" s="74" t="n">
        <v>7</v>
      </c>
      <c r="J12" s="74">
        <f>IFERROR(IF(I12&gt;0,H12/I12,"-"),"-")</f>
        <v/>
      </c>
      <c r="K12" s="75" t="n"/>
      <c r="L12" s="74" t="n">
        <v>9</v>
      </c>
      <c r="M12" s="74">
        <f>IFERROR(IF(L12&gt;0,K12/L12,"-"),"-")</f>
        <v/>
      </c>
      <c r="N12" s="75" t="n"/>
      <c r="O12" s="74" t="n">
        <v>4</v>
      </c>
      <c r="P12" s="74">
        <f>IFERROR(IF(O12&gt;0,N12/O12,"-"),"-")</f>
        <v/>
      </c>
      <c r="Q12" s="75" t="n">
        <v>2</v>
      </c>
      <c r="R12" s="60" t="n"/>
      <c r="S12" s="60" t="n"/>
    </row>
    <row r="13" ht="15" customHeight="1">
      <c r="A13" s="70" t="n">
        <v>7</v>
      </c>
      <c r="B13" s="71" t="inlineStr">
        <is>
          <t>Bel Collections</t>
        </is>
      </c>
      <c r="C13" s="70" t="inlineStr">
        <is>
          <t>B00010</t>
        </is>
      </c>
      <c r="D13" s="71" t="inlineStr">
        <is>
          <t>Sakura</t>
        </is>
      </c>
      <c r="E13" s="70" t="n"/>
      <c r="F13" s="72">
        <f>SUM(I13:O13)</f>
        <v/>
      </c>
      <c r="G13" s="72">
        <f>SUM(J13:P13)</f>
        <v/>
      </c>
      <c r="H13" s="73">
        <f>IFERROR(IF(G13&gt;0,F13/G13,"-"),"-")</f>
        <v/>
      </c>
      <c r="I13" s="74" t="n">
        <v>21</v>
      </c>
      <c r="J13" s="74">
        <f>IFERROR(IF(I13&gt;0,H13/I13,"-"),"-")</f>
        <v/>
      </c>
      <c r="K13" s="75" t="n">
        <v>1</v>
      </c>
      <c r="L13" s="74" t="n">
        <v>13</v>
      </c>
      <c r="M13" s="74">
        <f>IFERROR(IF(L13&gt;0,K13/L13,"-"),"-")</f>
        <v/>
      </c>
      <c r="N13" s="75" t="n"/>
      <c r="O13" s="74" t="n">
        <v>24</v>
      </c>
      <c r="P13" s="74">
        <f>IFERROR(IF(O13&gt;0,N13/O13,"-"),"-")</f>
        <v/>
      </c>
      <c r="Q13" s="75" t="n">
        <v>0</v>
      </c>
      <c r="R13" s="60" t="n"/>
      <c r="S13" s="60" t="n"/>
    </row>
    <row r="14" ht="15" customHeight="1">
      <c r="A14" s="70" t="n">
        <v>8</v>
      </c>
      <c r="B14" s="71" t="inlineStr">
        <is>
          <t>Bel Collections</t>
        </is>
      </c>
      <c r="C14" s="70" t="inlineStr">
        <is>
          <t>B00012</t>
        </is>
      </c>
      <c r="D14" s="71" t="inlineStr">
        <is>
          <t>Ambergris</t>
        </is>
      </c>
      <c r="E14" s="70" t="n"/>
      <c r="F14" s="72">
        <f>SUM(I14:O14)</f>
        <v/>
      </c>
      <c r="G14" s="72">
        <f>SUM(J14:P14)</f>
        <v/>
      </c>
      <c r="H14" s="73">
        <f>IFERROR(IF(G14&gt;0,F14/G14,"-"),"-")</f>
        <v/>
      </c>
      <c r="I14" s="74" t="n">
        <v>1</v>
      </c>
      <c r="J14" s="74">
        <f>IFERROR(IF(I14&gt;0,H14/I14,"-"),"-")</f>
        <v/>
      </c>
      <c r="K14" s="75" t="n"/>
      <c r="L14" s="74" t="n">
        <v>1</v>
      </c>
      <c r="M14" s="74">
        <f>IFERROR(IF(L14&gt;0,K14/L14,"-"),"-")</f>
        <v/>
      </c>
      <c r="N14" s="75" t="n"/>
      <c r="O14" s="74" t="n">
        <v>1</v>
      </c>
      <c r="P14" s="74">
        <f>IFERROR(IF(O14&gt;0,N14/O14,"-"),"-")</f>
        <v/>
      </c>
      <c r="Q14" s="75" t="n">
        <v>0</v>
      </c>
      <c r="R14" s="60" t="n"/>
      <c r="S14" s="60" t="n"/>
    </row>
    <row r="15" ht="15" customHeight="1">
      <c r="A15" s="70" t="n">
        <v>9</v>
      </c>
      <c r="B15" s="71" t="inlineStr">
        <is>
          <t>Bel Collections</t>
        </is>
      </c>
      <c r="C15" s="70" t="inlineStr">
        <is>
          <t>B00015</t>
        </is>
      </c>
      <c r="D15" s="71" t="inlineStr">
        <is>
          <t>Hidden Leather</t>
        </is>
      </c>
      <c r="E15" s="70" t="n">
        <v>1</v>
      </c>
      <c r="F15" s="72">
        <f>SUM(I15:O15)</f>
        <v/>
      </c>
      <c r="G15" s="72">
        <f>SUM(J15:P15)</f>
        <v/>
      </c>
      <c r="H15" s="73">
        <f>IFERROR(IF(G15&gt;0,F15/G15,"-"),"-")</f>
        <v/>
      </c>
      <c r="I15" s="74" t="n">
        <v>12</v>
      </c>
      <c r="J15" s="74">
        <f>IFERROR(IF(I15&gt;0,H15/I15,"-"),"-")</f>
        <v/>
      </c>
      <c r="K15" s="75" t="n">
        <v>2</v>
      </c>
      <c r="L15" s="74" t="n">
        <v>19</v>
      </c>
      <c r="M15" s="74">
        <f>IFERROR(IF(L15&gt;0,K15/L15,"-"),"-")</f>
        <v/>
      </c>
      <c r="N15" s="75" t="n">
        <v>1</v>
      </c>
      <c r="O15" s="74" t="n">
        <v>6</v>
      </c>
      <c r="P15" s="74">
        <f>IFERROR(IF(O15&gt;0,N15/O15,"-"),"-")</f>
        <v/>
      </c>
      <c r="Q15" s="75" t="n">
        <v>2</v>
      </c>
      <c r="R15" s="60" t="n"/>
      <c r="S15" s="60" t="n"/>
    </row>
    <row r="16" ht="15" customHeight="1">
      <c r="A16" s="70" t="n">
        <v>10</v>
      </c>
      <c r="B16" s="71" t="inlineStr">
        <is>
          <t>Bel Collections</t>
        </is>
      </c>
      <c r="C16" s="70" t="inlineStr">
        <is>
          <t>B00016</t>
        </is>
      </c>
      <c r="D16" s="71" t="inlineStr">
        <is>
          <t>Mysterious Rose</t>
        </is>
      </c>
      <c r="E16" s="70" t="n">
        <v>4</v>
      </c>
      <c r="F16" s="72">
        <f>SUM(I16:O16)</f>
        <v/>
      </c>
      <c r="G16" s="72">
        <f>SUM(J16:P16)</f>
        <v/>
      </c>
      <c r="H16" s="73">
        <f>IFERROR(IF(G16&gt;0,F16/G16,"-"),"-")</f>
        <v/>
      </c>
      <c r="I16" s="74" t="n">
        <v>66</v>
      </c>
      <c r="J16" s="74">
        <f>IFERROR(IF(I16&gt;0,H16/I16,"-"),"-")</f>
        <v/>
      </c>
      <c r="K16" s="75" t="n">
        <v>7</v>
      </c>
      <c r="L16" s="74" t="n">
        <v>69</v>
      </c>
      <c r="M16" s="74">
        <f>IFERROR(IF(L16&gt;0,K16/L16,"-"),"-")</f>
        <v/>
      </c>
      <c r="N16" s="75" t="n">
        <v>4</v>
      </c>
      <c r="O16" s="74" t="n">
        <v>43</v>
      </c>
      <c r="P16" s="74">
        <f>IFERROR(IF(O16&gt;0,N16/O16,"-"),"-")</f>
        <v/>
      </c>
      <c r="Q16" s="75" t="n">
        <v>1</v>
      </c>
      <c r="R16" s="60" t="n"/>
      <c r="S16" s="60" t="n"/>
    </row>
    <row r="17" ht="15" customHeight="1">
      <c r="A17" s="70" t="n">
        <v>11</v>
      </c>
      <c r="B17" s="71" t="inlineStr">
        <is>
          <t>Bel Collections</t>
        </is>
      </c>
      <c r="C17" s="70" t="inlineStr">
        <is>
          <t>B00017</t>
        </is>
      </c>
      <c r="D17" s="71" t="inlineStr">
        <is>
          <t>Thekrayat</t>
        </is>
      </c>
      <c r="E17" s="70" t="n">
        <v>1</v>
      </c>
      <c r="F17" s="72">
        <f>SUM(I17:O17)</f>
        <v/>
      </c>
      <c r="G17" s="72">
        <f>SUM(J17:P17)</f>
        <v/>
      </c>
      <c r="H17" s="73">
        <f>IFERROR(IF(G17&gt;0,F17/G17,"-"),"-")</f>
        <v/>
      </c>
      <c r="I17" s="74" t="n">
        <v>5</v>
      </c>
      <c r="J17" s="74">
        <f>IFERROR(IF(I17&gt;0,H17/I17,"-"),"-")</f>
        <v/>
      </c>
      <c r="K17" s="75" t="n"/>
      <c r="L17" s="74" t="n">
        <v>4</v>
      </c>
      <c r="M17" s="74">
        <f>IFERROR(IF(L17&gt;0,K17/L17,"-"),"-")</f>
        <v/>
      </c>
      <c r="N17" s="75" t="n"/>
      <c r="O17" s="74" t="n">
        <v>7</v>
      </c>
      <c r="P17" s="74">
        <f>IFERROR(IF(O17&gt;0,N17/O17,"-"),"-")</f>
        <v/>
      </c>
      <c r="Q17" s="75" t="n">
        <v>2</v>
      </c>
      <c r="R17" s="60" t="n"/>
      <c r="S17" s="60" t="n"/>
    </row>
    <row r="18" ht="15" customHeight="1">
      <c r="A18" s="70" t="n">
        <v>12</v>
      </c>
      <c r="B18" s="71" t="inlineStr">
        <is>
          <t>Bel Collections</t>
        </is>
      </c>
      <c r="C18" s="70" t="inlineStr">
        <is>
          <t>B00018</t>
        </is>
      </c>
      <c r="D18" s="71" t="inlineStr">
        <is>
          <t>Hidden Tobacco</t>
        </is>
      </c>
      <c r="E18" s="70" t="n">
        <v>1</v>
      </c>
      <c r="F18" s="72">
        <f>SUM(I18:O18)</f>
        <v/>
      </c>
      <c r="G18" s="72">
        <f>SUM(J18:P18)</f>
        <v/>
      </c>
      <c r="H18" s="73">
        <f>IFERROR(IF(G18&gt;0,F18/G18,"-"),"-")</f>
        <v/>
      </c>
      <c r="I18" s="74" t="n">
        <v>2</v>
      </c>
      <c r="J18" s="74">
        <f>IFERROR(IF(I18&gt;0,H18/I18,"-"),"-")</f>
        <v/>
      </c>
      <c r="K18" s="75" t="n">
        <v>1</v>
      </c>
      <c r="L18" s="74" t="n">
        <v>1</v>
      </c>
      <c r="M18" s="74">
        <f>IFERROR(IF(L18&gt;0,K18/L18,"-"),"-")</f>
        <v/>
      </c>
      <c r="N18" s="75" t="n"/>
      <c r="O18" s="74" t="n"/>
      <c r="P18" s="74">
        <f>IFERROR(IF(O18&gt;0,N18/O18,"-"),"-")</f>
        <v/>
      </c>
      <c r="Q18" s="75" t="n">
        <v>1</v>
      </c>
      <c r="R18" s="60" t="n"/>
      <c r="S18" s="60" t="n"/>
    </row>
    <row r="19" ht="15" customHeight="1">
      <c r="A19" s="70" t="n">
        <v>13</v>
      </c>
      <c r="B19" s="71" t="inlineStr">
        <is>
          <t>Bel Collections</t>
        </is>
      </c>
      <c r="C19" s="70" t="inlineStr">
        <is>
          <t>B00019</t>
        </is>
      </c>
      <c r="D19" s="71" t="inlineStr">
        <is>
          <t>Masters Perfume 100ml</t>
        </is>
      </c>
      <c r="E19" s="70" t="n"/>
      <c r="F19" s="72">
        <f>SUM(I19:O19)</f>
        <v/>
      </c>
      <c r="G19" s="72">
        <f>SUM(J19:P19)</f>
        <v/>
      </c>
      <c r="H19" s="73">
        <f>IFERROR(IF(G19&gt;0,F19/G19,"-"),"-")</f>
        <v/>
      </c>
      <c r="I19" s="74" t="n">
        <v>1</v>
      </c>
      <c r="J19" s="74">
        <f>IFERROR(IF(I19&gt;0,H19/I19,"-"),"-")</f>
        <v/>
      </c>
      <c r="K19" s="75" t="n"/>
      <c r="L19" s="74" t="n">
        <v>6</v>
      </c>
      <c r="M19" s="74">
        <f>IFERROR(IF(L19&gt;0,K19/L19,"-"),"-")</f>
        <v/>
      </c>
      <c r="N19" s="75" t="n"/>
      <c r="O19" s="74" t="n">
        <v>4</v>
      </c>
      <c r="P19" s="74">
        <f>IFERROR(IF(O19&gt;0,N19/O19,"-"),"-")</f>
        <v/>
      </c>
      <c r="Q19" s="75" t="n">
        <v>3</v>
      </c>
      <c r="R19" s="60" t="n"/>
      <c r="S19" s="60" t="n"/>
    </row>
    <row r="20" ht="15" customHeight="1">
      <c r="A20" s="70" t="n">
        <v>14</v>
      </c>
      <c r="B20" s="71" t="inlineStr">
        <is>
          <t>Bel Collections</t>
        </is>
      </c>
      <c r="C20" s="70" t="inlineStr">
        <is>
          <t>B00020</t>
        </is>
      </c>
      <c r="D20" s="71" t="inlineStr">
        <is>
          <t>Masters Signature 100ml Perfume - Tester</t>
        </is>
      </c>
      <c r="E20" s="70" t="n">
        <v>3</v>
      </c>
      <c r="F20" s="72">
        <f>SUM(I20:O20)</f>
        <v/>
      </c>
      <c r="G20" s="72">
        <f>SUM(J20:P20)</f>
        <v/>
      </c>
      <c r="H20" s="73">
        <f>IFERROR(IF(G20&gt;0,F20/G20,"-"),"-")</f>
        <v/>
      </c>
      <c r="I20" s="74" t="n">
        <v>18</v>
      </c>
      <c r="J20" s="74">
        <f>IFERROR(IF(I20&gt;0,H20/I20,"-"),"-")</f>
        <v/>
      </c>
      <c r="K20" s="75" t="n">
        <v>8</v>
      </c>
      <c r="L20" s="74" t="n">
        <v>60</v>
      </c>
      <c r="M20" s="74">
        <f>IFERROR(IF(L20&gt;0,K20/L20,"-"),"-")</f>
        <v/>
      </c>
      <c r="N20" s="75" t="n">
        <v>2</v>
      </c>
      <c r="O20" s="74" t="n">
        <v>17</v>
      </c>
      <c r="P20" s="74">
        <f>IFERROR(IF(O20&gt;0,N20/O20,"-"),"-")</f>
        <v/>
      </c>
      <c r="Q20" s="75" t="n">
        <v>11</v>
      </c>
      <c r="R20" s="60" t="n"/>
      <c r="S20" s="60" t="n"/>
    </row>
    <row r="21" ht="15" customHeight="1">
      <c r="A21" s="70" t="n">
        <v>15</v>
      </c>
      <c r="B21" s="71" t="inlineStr">
        <is>
          <t>Bel Collections</t>
        </is>
      </c>
      <c r="C21" s="70" t="inlineStr">
        <is>
          <t>B00021</t>
        </is>
      </c>
      <c r="D21" s="71" t="inlineStr">
        <is>
          <t>Midnight Bloom 100 ML</t>
        </is>
      </c>
      <c r="E21" s="70" t="n"/>
      <c r="F21" s="72">
        <f>SUM(I21:O21)</f>
        <v/>
      </c>
      <c r="G21" s="72">
        <f>SUM(J21:P21)</f>
        <v/>
      </c>
      <c r="H21" s="73">
        <f>IFERROR(IF(G21&gt;0,F21/G21,"-"),"-")</f>
        <v/>
      </c>
      <c r="I21" s="74" t="n">
        <v>15</v>
      </c>
      <c r="J21" s="74">
        <f>IFERROR(IF(I21&gt;0,H21/I21,"-"),"-")</f>
        <v/>
      </c>
      <c r="K21" s="75" t="n"/>
      <c r="L21" s="74" t="n">
        <v>6</v>
      </c>
      <c r="M21" s="74">
        <f>IFERROR(IF(L21&gt;0,K21/L21,"-"),"-")</f>
        <v/>
      </c>
      <c r="N21" s="75" t="n">
        <v>1</v>
      </c>
      <c r="O21" s="74" t="n">
        <v>5</v>
      </c>
      <c r="P21" s="74">
        <f>IFERROR(IF(O21&gt;0,N21/O21,"-"),"-")</f>
        <v/>
      </c>
      <c r="Q21" s="75" t="n">
        <v>15</v>
      </c>
      <c r="R21" s="60" t="n"/>
      <c r="S21" s="60" t="n"/>
    </row>
    <row r="22" ht="15" customHeight="1">
      <c r="A22" s="76" t="inlineStr">
        <is>
          <t xml:space="preserve">  CABALLO COLLECTION</t>
        </is>
      </c>
      <c r="B22" s="77" t="n"/>
      <c r="C22" s="77" t="n"/>
      <c r="D22" s="77" t="n"/>
      <c r="E22" s="77" t="n">
        <v>1</v>
      </c>
      <c r="F22" s="72">
        <f>SUM(I22:O22)</f>
        <v/>
      </c>
      <c r="G22" s="72">
        <f>SUM(J22:P22)</f>
        <v/>
      </c>
      <c r="H22" s="73">
        <f>IFERROR(IF(G22&gt;0,F22/G22,"-"),"-")</f>
        <v/>
      </c>
      <c r="I22" s="74" t="n">
        <v>6</v>
      </c>
      <c r="J22" s="74">
        <f>IFERROR(IF(I22&gt;0,H22/I22,"-"),"-")</f>
        <v/>
      </c>
      <c r="K22" s="75" t="n">
        <v>1</v>
      </c>
      <c r="L22" s="74" t="n">
        <v>9</v>
      </c>
      <c r="M22" s="74">
        <f>IFERROR(IF(L22&gt;0,K22/L22,"-"),"-")</f>
        <v/>
      </c>
      <c r="N22" s="75" t="n">
        <v>1</v>
      </c>
      <c r="O22" s="74" t="n">
        <v>2</v>
      </c>
      <c r="P22" s="74">
        <f>IFERROR(IF(O22&gt;0,N22/O22,"-"),"-")</f>
        <v/>
      </c>
      <c r="Q22" s="75" t="n"/>
      <c r="R22" s="59" t="n"/>
      <c r="S22" s="59" t="n"/>
    </row>
    <row r="23" ht="15" customHeight="1">
      <c r="A23" s="70" t="n">
        <v>16</v>
      </c>
      <c r="B23" s="71" t="inlineStr">
        <is>
          <t>Caballo Collection</t>
        </is>
      </c>
      <c r="C23" s="70" t="inlineStr">
        <is>
          <t>C00002</t>
        </is>
      </c>
      <c r="D23" s="71" t="inlineStr">
        <is>
          <t>White Perfume 100 ML</t>
        </is>
      </c>
      <c r="E23" s="70" t="n"/>
      <c r="F23" s="72">
        <f>SUM(I23:O23)</f>
        <v/>
      </c>
      <c r="G23" s="72">
        <f>SUM(J23:P23)</f>
        <v/>
      </c>
      <c r="H23" s="73">
        <f>IFERROR(IF(G23&gt;0,F23/G23,"-"),"-")</f>
        <v/>
      </c>
      <c r="I23" s="74" t="n">
        <v>6</v>
      </c>
      <c r="J23" s="74">
        <f>IFERROR(IF(I23&gt;0,H23/I23,"-"),"-")</f>
        <v/>
      </c>
      <c r="K23" s="75" t="n">
        <v>2</v>
      </c>
      <c r="L23" s="74" t="n">
        <v>12</v>
      </c>
      <c r="M23" s="74">
        <f>IFERROR(IF(L23&gt;0,K23/L23,"-"),"-")</f>
        <v/>
      </c>
      <c r="N23" s="75" t="n"/>
      <c r="O23" s="74" t="n">
        <v>9</v>
      </c>
      <c r="P23" s="74">
        <f>IFERROR(IF(O23&gt;0,N23/O23,"-"),"-")</f>
        <v/>
      </c>
      <c r="Q23" s="75" t="n">
        <v>0</v>
      </c>
      <c r="R23" s="60" t="n"/>
      <c r="S23" s="60" t="n"/>
    </row>
    <row r="24" ht="15" customHeight="1">
      <c r="A24" s="70" t="n">
        <v>17</v>
      </c>
      <c r="B24" s="71" t="inlineStr">
        <is>
          <t>Caballo Collection</t>
        </is>
      </c>
      <c r="C24" s="70" t="inlineStr">
        <is>
          <t>C00004</t>
        </is>
      </c>
      <c r="D24" s="71" t="inlineStr">
        <is>
          <t>Maroon Perfume 100 ML</t>
        </is>
      </c>
      <c r="E24" s="70" t="n">
        <v>3</v>
      </c>
      <c r="F24" s="72">
        <f>SUM(I24:O24)</f>
        <v/>
      </c>
      <c r="G24" s="72">
        <f>SUM(J24:P24)</f>
        <v/>
      </c>
      <c r="H24" s="73">
        <f>IFERROR(IF(G24&gt;0,F24/G24,"-"),"-")</f>
        <v/>
      </c>
      <c r="I24" s="74" t="n">
        <v>23</v>
      </c>
      <c r="J24" s="74">
        <f>IFERROR(IF(I24&gt;0,H24/I24,"-"),"-")</f>
        <v/>
      </c>
      <c r="K24" s="75" t="n">
        <v>2</v>
      </c>
      <c r="L24" s="74" t="n">
        <v>21</v>
      </c>
      <c r="M24" s="74">
        <f>IFERROR(IF(L24&gt;0,K24/L24,"-"),"-")</f>
        <v/>
      </c>
      <c r="N24" s="75" t="n">
        <v>2</v>
      </c>
      <c r="O24" s="74" t="n">
        <v>6</v>
      </c>
      <c r="P24" s="74">
        <f>IFERROR(IF(O24&gt;0,N24/O24,"-"),"-")</f>
        <v/>
      </c>
      <c r="Q24" s="75" t="n">
        <v>0</v>
      </c>
      <c r="R24" s="60" t="n"/>
      <c r="S24" s="60" t="n"/>
    </row>
    <row r="25" ht="15" customHeight="1">
      <c r="A25" s="70" t="n">
        <v>18</v>
      </c>
      <c r="B25" s="71" t="inlineStr">
        <is>
          <t>Caballo Collection</t>
        </is>
      </c>
      <c r="C25" s="70" t="inlineStr">
        <is>
          <t>C00010</t>
        </is>
      </c>
      <c r="D25" s="71" t="inlineStr">
        <is>
          <t>Maroon Intense</t>
        </is>
      </c>
      <c r="E25" s="70" t="n">
        <v>2</v>
      </c>
      <c r="F25" s="72">
        <f>SUM(I25:O25)</f>
        <v/>
      </c>
      <c r="G25" s="72">
        <f>SUM(J25:P25)</f>
        <v/>
      </c>
      <c r="H25" s="73">
        <f>IFERROR(IF(G25&gt;0,F25/G25,"-"),"-")</f>
        <v/>
      </c>
      <c r="I25" s="74" t="n">
        <v>24</v>
      </c>
      <c r="J25" s="74">
        <f>IFERROR(IF(I25&gt;0,H25/I25,"-"),"-")</f>
        <v/>
      </c>
      <c r="K25" s="75" t="n">
        <v>4</v>
      </c>
      <c r="L25" s="74" t="n">
        <v>20</v>
      </c>
      <c r="M25" s="74">
        <f>IFERROR(IF(L25&gt;0,K25/L25,"-"),"-")</f>
        <v/>
      </c>
      <c r="N25" s="75" t="n">
        <v>4</v>
      </c>
      <c r="O25" s="74" t="n">
        <v>11</v>
      </c>
      <c r="P25" s="74">
        <f>IFERROR(IF(O25&gt;0,N25/O25,"-"),"-")</f>
        <v/>
      </c>
      <c r="Q25" s="75" t="n">
        <v>0</v>
      </c>
      <c r="R25" s="60" t="n"/>
      <c r="S25" s="60" t="n"/>
    </row>
    <row r="26" ht="15" customHeight="1">
      <c r="A26" s="70" t="n">
        <v>19</v>
      </c>
      <c r="B26" s="71" t="inlineStr">
        <is>
          <t>Caballo Collection</t>
        </is>
      </c>
      <c r="C26" s="70" t="inlineStr">
        <is>
          <t>C00011</t>
        </is>
      </c>
      <c r="D26" s="71" t="inlineStr">
        <is>
          <t>Violet Perfume 100ml</t>
        </is>
      </c>
      <c r="E26" s="70" t="n">
        <v>4</v>
      </c>
      <c r="F26" s="72">
        <f>SUM(I26:O26)</f>
        <v/>
      </c>
      <c r="G26" s="72">
        <f>SUM(J26:P26)</f>
        <v/>
      </c>
      <c r="H26" s="73">
        <f>IFERROR(IF(G26&gt;0,F26/G26,"-"),"-")</f>
        <v/>
      </c>
      <c r="I26" s="74" t="n">
        <v>26</v>
      </c>
      <c r="J26" s="74">
        <f>IFERROR(IF(I26&gt;0,H26/I26,"-"),"-")</f>
        <v/>
      </c>
      <c r="K26" s="75" t="n">
        <v>7</v>
      </c>
      <c r="L26" s="74" t="n">
        <v>64</v>
      </c>
      <c r="M26" s="74">
        <f>IFERROR(IF(L26&gt;0,K26/L26,"-"),"-")</f>
        <v/>
      </c>
      <c r="N26" s="75" t="n">
        <v>5</v>
      </c>
      <c r="O26" s="74" t="n">
        <v>27</v>
      </c>
      <c r="P26" s="74">
        <f>IFERROR(IF(O26&gt;0,N26/O26,"-"),"-")</f>
        <v/>
      </c>
      <c r="Q26" s="75" t="n">
        <v>0</v>
      </c>
      <c r="R26" s="60" t="n"/>
      <c r="S26" s="60" t="n"/>
    </row>
    <row r="27" ht="15" customHeight="1">
      <c r="A27" s="70" t="n">
        <v>20</v>
      </c>
      <c r="B27" s="71" t="inlineStr">
        <is>
          <t>Caballo Collection</t>
        </is>
      </c>
      <c r="C27" s="70" t="inlineStr">
        <is>
          <t>C00012</t>
        </is>
      </c>
      <c r="D27" s="71" t="inlineStr">
        <is>
          <t>Navy Perfume 100ml</t>
        </is>
      </c>
      <c r="E27" s="70" t="n"/>
      <c r="F27" s="72">
        <f>SUM(I27:O27)</f>
        <v/>
      </c>
      <c r="G27" s="72">
        <f>SUM(J27:P27)</f>
        <v/>
      </c>
      <c r="H27" s="73">
        <f>IFERROR(IF(G27&gt;0,F27/G27,"-"),"-")</f>
        <v/>
      </c>
      <c r="I27" s="74" t="n"/>
      <c r="J27" s="74">
        <f>IFERROR(IF(I27&gt;0,H27/I27,"-"),"-")</f>
        <v/>
      </c>
      <c r="K27" s="75" t="n"/>
      <c r="L27" s="74" t="n"/>
      <c r="M27" s="74">
        <f>IFERROR(IF(L27&gt;0,K27/L27,"-"),"-")</f>
        <v/>
      </c>
      <c r="N27" s="75" t="n"/>
      <c r="O27" s="74" t="n"/>
      <c r="P27" s="74">
        <f>IFERROR(IF(O27&gt;0,N27/O27,"-"),"-")</f>
        <v/>
      </c>
      <c r="Q27" s="75" t="n">
        <v>1</v>
      </c>
      <c r="R27" s="60" t="n"/>
      <c r="S27" s="60" t="n"/>
    </row>
    <row r="28" ht="15" customHeight="1">
      <c r="A28" s="70" t="n">
        <v>21</v>
      </c>
      <c r="B28" s="71" t="inlineStr">
        <is>
          <t>Caballo Collection</t>
        </is>
      </c>
      <c r="C28" s="70" t="inlineStr">
        <is>
          <t>C00013</t>
        </is>
      </c>
      <c r="D28" s="71" t="inlineStr">
        <is>
          <t>White Overdose Perfume 100ml</t>
        </is>
      </c>
      <c r="E28" s="70" t="n">
        <v>1</v>
      </c>
      <c r="F28" s="72">
        <f>SUM(I28:O28)</f>
        <v/>
      </c>
      <c r="G28" s="72">
        <f>SUM(J28:P28)</f>
        <v/>
      </c>
      <c r="H28" s="73">
        <f>IFERROR(IF(G28&gt;0,F28/G28,"-"),"-")</f>
        <v/>
      </c>
      <c r="I28" s="74" t="n">
        <v>12</v>
      </c>
      <c r="J28" s="74">
        <f>IFERROR(IF(I28&gt;0,H28/I28,"-"),"-")</f>
        <v/>
      </c>
      <c r="K28" s="75" t="n"/>
      <c r="L28" s="74" t="n">
        <v>28</v>
      </c>
      <c r="M28" s="74">
        <f>IFERROR(IF(L28&gt;0,K28/L28,"-"),"-")</f>
        <v/>
      </c>
      <c r="N28" s="75" t="n"/>
      <c r="O28" s="74" t="n">
        <v>13</v>
      </c>
      <c r="P28" s="74">
        <f>IFERROR(IF(O28&gt;0,N28/O28,"-"),"-")</f>
        <v/>
      </c>
      <c r="Q28" s="75" t="n">
        <v>4</v>
      </c>
      <c r="R28" s="60" t="n"/>
      <c r="S28" s="60" t="n"/>
    </row>
    <row r="29" ht="15" customHeight="1">
      <c r="A29" s="76" t="inlineStr">
        <is>
          <t xml:space="preserve">  DAKHOON COLLECTION</t>
        </is>
      </c>
      <c r="B29" s="77" t="n"/>
      <c r="C29" s="77" t="n"/>
      <c r="D29" s="77" t="n"/>
      <c r="E29" s="77" t="n"/>
      <c r="F29" s="72">
        <f>SUM(I29:O29)</f>
        <v/>
      </c>
      <c r="G29" s="72">
        <f>SUM(J29:P29)</f>
        <v/>
      </c>
      <c r="H29" s="73">
        <f>IFERROR(IF(G29&gt;0,F29/G29,"-"),"-")</f>
        <v/>
      </c>
      <c r="I29" s="74" t="n">
        <v>3</v>
      </c>
      <c r="J29" s="74">
        <f>IFERROR(IF(I29&gt;0,H29/I29,"-"),"-")</f>
        <v/>
      </c>
      <c r="K29" s="75" t="n"/>
      <c r="L29" s="74" t="n">
        <v>12</v>
      </c>
      <c r="M29" s="74">
        <f>IFERROR(IF(L29&gt;0,K29/L29,"-"),"-")</f>
        <v/>
      </c>
      <c r="N29" s="75" t="n"/>
      <c r="O29" s="74" t="n">
        <v>4</v>
      </c>
      <c r="P29" s="74">
        <f>IFERROR(IF(O29&gt;0,N29/O29,"-"),"-")</f>
        <v/>
      </c>
      <c r="Q29" s="75" t="n"/>
      <c r="R29" s="59" t="n"/>
      <c r="S29" s="59" t="n"/>
    </row>
    <row r="30" ht="15" customHeight="1">
      <c r="A30" s="70" t="n">
        <v>22</v>
      </c>
      <c r="B30" s="71" t="inlineStr">
        <is>
          <t>Dakhoon Collection</t>
        </is>
      </c>
      <c r="C30" s="70" t="inlineStr">
        <is>
          <t>D00001</t>
        </is>
      </c>
      <c r="D30" s="71" t="inlineStr">
        <is>
          <t>Dakhoon Al Emarat</t>
        </is>
      </c>
      <c r="E30" s="70" t="n"/>
      <c r="F30" s="72">
        <f>SUM(I30:O30)</f>
        <v/>
      </c>
      <c r="G30" s="72">
        <f>SUM(J30:P30)</f>
        <v/>
      </c>
      <c r="H30" s="73">
        <f>IFERROR(IF(G30&gt;0,F30/G30,"-"),"-")</f>
        <v/>
      </c>
      <c r="I30" s="74" t="n">
        <v>1</v>
      </c>
      <c r="J30" s="74">
        <f>IFERROR(IF(I30&gt;0,H30/I30,"-"),"-")</f>
        <v/>
      </c>
      <c r="K30" s="75" t="n">
        <v>1</v>
      </c>
      <c r="L30" s="74" t="n">
        <v>4</v>
      </c>
      <c r="M30" s="74">
        <f>IFERROR(IF(L30&gt;0,K30/L30,"-"),"-")</f>
        <v/>
      </c>
      <c r="N30" s="75" t="n"/>
      <c r="O30" s="74" t="n"/>
      <c r="P30" s="74">
        <f>IFERROR(IF(O30&gt;0,N30/O30,"-"),"-")</f>
        <v/>
      </c>
      <c r="Q30" s="75" t="n">
        <v>1</v>
      </c>
      <c r="R30" s="60" t="n"/>
      <c r="S30" s="60" t="n"/>
    </row>
    <row r="31" ht="15" customHeight="1">
      <c r="A31" s="70" t="n">
        <v>23</v>
      </c>
      <c r="B31" s="71" t="inlineStr">
        <is>
          <t>Dakhoon Collection</t>
        </is>
      </c>
      <c r="C31" s="70" t="inlineStr">
        <is>
          <t>D00003</t>
        </is>
      </c>
      <c r="D31" s="71" t="inlineStr">
        <is>
          <t>Dakhoon Badia</t>
        </is>
      </c>
      <c r="E31" s="70" t="n">
        <v>1</v>
      </c>
      <c r="F31" s="72">
        <f>SUM(I31:O31)</f>
        <v/>
      </c>
      <c r="G31" s="72">
        <f>SUM(J31:P31)</f>
        <v/>
      </c>
      <c r="H31" s="73">
        <f>IFERROR(IF(G31&gt;0,F31/G31,"-"),"-")</f>
        <v/>
      </c>
      <c r="I31" s="74" t="n"/>
      <c r="J31" s="74">
        <f>IFERROR(IF(I31&gt;0,H31/I31,"-"),"-")</f>
        <v/>
      </c>
      <c r="K31" s="75" t="n"/>
      <c r="L31" s="74" t="n">
        <v>2</v>
      </c>
      <c r="M31" s="74">
        <f>IFERROR(IF(L31&gt;0,K31/L31,"-"),"-")</f>
        <v/>
      </c>
      <c r="N31" s="75" t="n"/>
      <c r="O31" s="74" t="n"/>
      <c r="P31" s="74">
        <f>IFERROR(IF(O31&gt;0,N31/O31,"-"),"-")</f>
        <v/>
      </c>
      <c r="Q31" s="75" t="n">
        <v>0</v>
      </c>
      <c r="R31" s="60" t="n"/>
      <c r="S31" s="60" t="n"/>
    </row>
    <row r="32" ht="15" customHeight="1">
      <c r="A32" s="70" t="n">
        <v>24</v>
      </c>
      <c r="B32" s="71" t="inlineStr">
        <is>
          <t>Dakhoon Collection</t>
        </is>
      </c>
      <c r="C32" s="70" t="inlineStr">
        <is>
          <t>D00004</t>
        </is>
      </c>
      <c r="D32" s="71" t="inlineStr">
        <is>
          <t>Dakhoon Al Dar</t>
        </is>
      </c>
      <c r="E32" s="70" t="n">
        <v>1</v>
      </c>
      <c r="F32" s="72">
        <f>SUM(I32:O32)</f>
        <v/>
      </c>
      <c r="G32" s="72">
        <f>SUM(J32:P32)</f>
        <v/>
      </c>
      <c r="H32" s="73">
        <f>IFERROR(IF(G32&gt;0,F32/G32,"-"),"-")</f>
        <v/>
      </c>
      <c r="I32" s="74" t="n"/>
      <c r="J32" s="74">
        <f>IFERROR(IF(I32&gt;0,H32/I32,"-"),"-")</f>
        <v/>
      </c>
      <c r="K32" s="75" t="n"/>
      <c r="L32" s="74" t="n"/>
      <c r="M32" s="74">
        <f>IFERROR(IF(L32&gt;0,K32/L32,"-"),"-")</f>
        <v/>
      </c>
      <c r="N32" s="75" t="n"/>
      <c r="O32" s="74" t="n"/>
      <c r="P32" s="74">
        <f>IFERROR(IF(O32&gt;0,N32/O32,"-"),"-")</f>
        <v/>
      </c>
      <c r="Q32" s="75" t="n">
        <v>4</v>
      </c>
      <c r="R32" s="60" t="n"/>
      <c r="S32" s="60" t="n"/>
    </row>
    <row r="33" ht="15" customHeight="1">
      <c r="A33" s="70" t="n">
        <v>25</v>
      </c>
      <c r="B33" s="71" t="inlineStr">
        <is>
          <t>Dakhoon Collection</t>
        </is>
      </c>
      <c r="C33" s="70" t="inlineStr">
        <is>
          <t>D00005</t>
        </is>
      </c>
      <c r="D33" s="71" t="inlineStr">
        <is>
          <t>Dakhoon Al Barzah</t>
        </is>
      </c>
      <c r="E33" s="70" t="n">
        <v>1</v>
      </c>
      <c r="F33" s="72">
        <f>SUM(I33:O33)</f>
        <v/>
      </c>
      <c r="G33" s="72">
        <f>SUM(J33:P33)</f>
        <v/>
      </c>
      <c r="H33" s="73">
        <f>IFERROR(IF(G33&gt;0,F33/G33,"-"),"-")</f>
        <v/>
      </c>
      <c r="I33" s="74" t="n">
        <v>1</v>
      </c>
      <c r="J33" s="74">
        <f>IFERROR(IF(I33&gt;0,H33/I33,"-"),"-")</f>
        <v/>
      </c>
      <c r="K33" s="75" t="n">
        <v>2</v>
      </c>
      <c r="L33" s="74" t="n">
        <v>1</v>
      </c>
      <c r="M33" s="74">
        <f>IFERROR(IF(L33&gt;0,K33/L33,"-"),"-")</f>
        <v/>
      </c>
      <c r="N33" s="75" t="n"/>
      <c r="O33" s="74" t="n">
        <v>3</v>
      </c>
      <c r="P33" s="74">
        <f>IFERROR(IF(O33&gt;0,N33/O33,"-"),"-")</f>
        <v/>
      </c>
      <c r="Q33" s="75" t="n">
        <v>0</v>
      </c>
      <c r="R33" s="60" t="n"/>
      <c r="S33" s="60" t="n"/>
    </row>
    <row r="34" ht="15" customHeight="1">
      <c r="A34" s="76" t="inlineStr">
        <is>
          <t xml:space="preserve">  OUD COLLECTION</t>
        </is>
      </c>
      <c r="B34" s="77" t="n"/>
      <c r="C34" s="77" t="n"/>
      <c r="D34" s="77" t="n"/>
      <c r="E34" s="77" t="n"/>
      <c r="F34" s="72">
        <f>SUM(I34:O34)</f>
        <v/>
      </c>
      <c r="G34" s="72">
        <f>SUM(J34:P34)</f>
        <v/>
      </c>
      <c r="H34" s="73">
        <f>IFERROR(IF(G34&gt;0,F34/G34,"-"),"-")</f>
        <v/>
      </c>
      <c r="I34" s="74" t="n"/>
      <c r="J34" s="74">
        <f>IFERROR(IF(I34&gt;0,H34/I34,"-"),"-")</f>
        <v/>
      </c>
      <c r="K34" s="75" t="n"/>
      <c r="L34" s="74" t="n">
        <v>2</v>
      </c>
      <c r="M34" s="74">
        <f>IFERROR(IF(L34&gt;0,K34/L34,"-"),"-")</f>
        <v/>
      </c>
      <c r="N34" s="75" t="n"/>
      <c r="O34" s="74" t="n">
        <v>1</v>
      </c>
      <c r="P34" s="74">
        <f>IFERROR(IF(O34&gt;0,N34/O34,"-"),"-")</f>
        <v/>
      </c>
      <c r="Q34" s="75" t="n"/>
      <c r="R34" s="59" t="n"/>
      <c r="S34" s="59" t="n"/>
    </row>
    <row r="35" ht="15" customHeight="1">
      <c r="A35" s="70" t="n">
        <v>26</v>
      </c>
      <c r="B35" s="71" t="inlineStr">
        <is>
          <t>Oud Collection</t>
        </is>
      </c>
      <c r="C35" s="70" t="inlineStr">
        <is>
          <t>O00001</t>
        </is>
      </c>
      <c r="D35" s="71" t="inlineStr">
        <is>
          <t>Oud Amiri</t>
        </is>
      </c>
      <c r="E35" s="70" t="n">
        <v>1</v>
      </c>
      <c r="F35" s="72">
        <f>SUM(I35:O35)</f>
        <v/>
      </c>
      <c r="G35" s="72">
        <f>SUM(J35:P35)</f>
        <v/>
      </c>
      <c r="H35" s="73">
        <f>IFERROR(IF(G35&gt;0,F35/G35,"-"),"-")</f>
        <v/>
      </c>
      <c r="I35" s="74" t="n">
        <v>2</v>
      </c>
      <c r="J35" s="74">
        <f>IFERROR(IF(I35&gt;0,H35/I35,"-"),"-")</f>
        <v/>
      </c>
      <c r="K35" s="75" t="n">
        <v>1</v>
      </c>
      <c r="L35" s="74" t="n">
        <v>3</v>
      </c>
      <c r="M35" s="74">
        <f>IFERROR(IF(L35&gt;0,K35/L35,"-"),"-")</f>
        <v/>
      </c>
      <c r="N35" s="75" t="n"/>
      <c r="O35" s="74" t="n">
        <v>4</v>
      </c>
      <c r="P35" s="74">
        <f>IFERROR(IF(O35&gt;0,N35/O35,"-"),"-")</f>
        <v/>
      </c>
      <c r="Q35" s="75" t="n">
        <v>1</v>
      </c>
      <c r="R35" s="60" t="n"/>
      <c r="S35" s="60" t="n"/>
    </row>
    <row r="36" ht="15" customHeight="1">
      <c r="A36" s="70" t="n">
        <v>27</v>
      </c>
      <c r="B36" s="71" t="inlineStr">
        <is>
          <t>Oud Collection</t>
        </is>
      </c>
      <c r="C36" s="70" t="inlineStr">
        <is>
          <t>O00002</t>
        </is>
      </c>
      <c r="D36" s="71" t="inlineStr">
        <is>
          <t>Oud Meydan</t>
        </is>
      </c>
      <c r="E36" s="70" t="n">
        <v>1</v>
      </c>
      <c r="F36" s="72">
        <f>SUM(I36:O36)</f>
        <v/>
      </c>
      <c r="G36" s="72">
        <f>SUM(J36:P36)</f>
        <v/>
      </c>
      <c r="H36" s="73">
        <f>IFERROR(IF(G36&gt;0,F36/G36,"-"),"-")</f>
        <v/>
      </c>
      <c r="I36" s="74" t="n">
        <v>18</v>
      </c>
      <c r="J36" s="74">
        <f>IFERROR(IF(I36&gt;0,H36/I36,"-"),"-")</f>
        <v/>
      </c>
      <c r="K36" s="75" t="n">
        <v>1</v>
      </c>
      <c r="L36" s="74" t="n">
        <v>16</v>
      </c>
      <c r="M36" s="74">
        <f>IFERROR(IF(L36&gt;0,K36/L36,"-"),"-")</f>
        <v/>
      </c>
      <c r="N36" s="75" t="n">
        <v>2</v>
      </c>
      <c r="O36" s="74" t="n">
        <v>16</v>
      </c>
      <c r="P36" s="74">
        <f>IFERROR(IF(O36&gt;0,N36/O36,"-"),"-")</f>
        <v/>
      </c>
      <c r="Q36" s="75" t="n">
        <v>1</v>
      </c>
      <c r="R36" s="60" t="n"/>
      <c r="S36" s="60" t="n"/>
    </row>
    <row r="37" ht="15" customHeight="1">
      <c r="A37" s="70" t="n">
        <v>28</v>
      </c>
      <c r="B37" s="71" t="inlineStr">
        <is>
          <t>Oud Collection</t>
        </is>
      </c>
      <c r="C37" s="70" t="inlineStr">
        <is>
          <t>O00006</t>
        </is>
      </c>
      <c r="D37" s="71" t="inlineStr">
        <is>
          <t>Oud Al Fakhamah</t>
        </is>
      </c>
      <c r="E37" s="70" t="n"/>
      <c r="F37" s="72">
        <f>SUM(I37:O37)</f>
        <v/>
      </c>
      <c r="G37" s="72">
        <f>SUM(J37:P37)</f>
        <v/>
      </c>
      <c r="H37" s="73">
        <f>IFERROR(IF(G37&gt;0,F37/G37,"-"),"-")</f>
        <v/>
      </c>
      <c r="I37" s="74" t="n">
        <v>1</v>
      </c>
      <c r="J37" s="74">
        <f>IFERROR(IF(I37&gt;0,H37/I37,"-"),"-")</f>
        <v/>
      </c>
      <c r="K37" s="75" t="n"/>
      <c r="L37" s="74" t="n">
        <v>3</v>
      </c>
      <c r="M37" s="74">
        <f>IFERROR(IF(L37&gt;0,K37/L37,"-"),"-")</f>
        <v/>
      </c>
      <c r="N37" s="75" t="n"/>
      <c r="O37" s="74" t="n">
        <v>3</v>
      </c>
      <c r="P37" s="74">
        <f>IFERROR(IF(O37&gt;0,N37/O37,"-"),"-")</f>
        <v/>
      </c>
      <c r="Q37" s="75" t="n">
        <v>1</v>
      </c>
      <c r="R37" s="60" t="n"/>
      <c r="S37" s="60" t="n"/>
    </row>
    <row r="38" ht="15" customHeight="1">
      <c r="A38" s="70" t="n">
        <v>29</v>
      </c>
      <c r="B38" s="71" t="inlineStr">
        <is>
          <t>Oud Collection</t>
        </is>
      </c>
      <c r="C38" s="70" t="inlineStr">
        <is>
          <t>O00007</t>
        </is>
      </c>
      <c r="D38" s="71" t="inlineStr">
        <is>
          <t>Oud Hindi Khas - AGARWOOD BOX -42g</t>
        </is>
      </c>
      <c r="E38" s="70" t="n">
        <v>1</v>
      </c>
      <c r="F38" s="72">
        <f>SUM(I38:O38)</f>
        <v/>
      </c>
      <c r="G38" s="72">
        <f>SUM(J38:P38)</f>
        <v/>
      </c>
      <c r="H38" s="73">
        <f>IFERROR(IF(G38&gt;0,F38/G38,"-"),"-")</f>
        <v/>
      </c>
      <c r="I38" s="74" t="n">
        <v>4</v>
      </c>
      <c r="J38" s="74">
        <f>IFERROR(IF(I38&gt;0,H38/I38,"-"),"-")</f>
        <v/>
      </c>
      <c r="K38" s="75" t="n">
        <v>1</v>
      </c>
      <c r="L38" s="74" t="n">
        <v>11</v>
      </c>
      <c r="M38" s="74">
        <f>IFERROR(IF(L38&gt;0,K38/L38,"-"),"-")</f>
        <v/>
      </c>
      <c r="N38" s="75" t="n"/>
      <c r="O38" s="74" t="n">
        <v>4</v>
      </c>
      <c r="P38" s="74">
        <f>IFERROR(IF(O38&gt;0,N38/O38,"-"),"-")</f>
        <v/>
      </c>
      <c r="Q38" s="75" t="n">
        <v>0</v>
      </c>
      <c r="R38" s="60" t="n"/>
      <c r="S38" s="60" t="n"/>
    </row>
    <row r="39" ht="15" customHeight="1">
      <c r="A39" s="70" t="n">
        <v>30</v>
      </c>
      <c r="B39" s="71" t="inlineStr">
        <is>
          <t>Oud Collection</t>
        </is>
      </c>
      <c r="C39" s="70" t="inlineStr">
        <is>
          <t>O00008</t>
        </is>
      </c>
      <c r="D39" s="71" t="inlineStr">
        <is>
          <t>Oud Hindi Malaki -AGARWOOD BOX 42g</t>
        </is>
      </c>
      <c r="E39" s="70" t="n">
        <v>1</v>
      </c>
      <c r="F39" s="72">
        <f>SUM(I39:O39)</f>
        <v/>
      </c>
      <c r="G39" s="72">
        <f>SUM(J39:P39)</f>
        <v/>
      </c>
      <c r="H39" s="73">
        <f>IFERROR(IF(G39&gt;0,F39/G39,"-"),"-")</f>
        <v/>
      </c>
      <c r="I39" s="74" t="n">
        <v>6</v>
      </c>
      <c r="J39" s="74">
        <f>IFERROR(IF(I39&gt;0,H39/I39,"-"),"-")</f>
        <v/>
      </c>
      <c r="K39" s="75" t="n">
        <v>1</v>
      </c>
      <c r="L39" s="74" t="n">
        <v>10</v>
      </c>
      <c r="M39" s="74">
        <f>IFERROR(IF(L39&gt;0,K39/L39,"-"),"-")</f>
        <v/>
      </c>
      <c r="N39" s="75" t="n"/>
      <c r="O39" s="74" t="n">
        <v>8</v>
      </c>
      <c r="P39" s="74">
        <f>IFERROR(IF(O39&gt;0,N39/O39,"-"),"-")</f>
        <v/>
      </c>
      <c r="Q39" s="75" t="n">
        <v>0</v>
      </c>
      <c r="R39" s="60" t="n"/>
      <c r="S39" s="60" t="n"/>
    </row>
    <row r="40" ht="15" customHeight="1">
      <c r="A40" s="76" t="inlineStr">
        <is>
          <t xml:space="preserve">  FUTURE COLLECTION</t>
        </is>
      </c>
      <c r="B40" s="77" t="n"/>
      <c r="C40" s="77" t="n"/>
      <c r="D40" s="77" t="n"/>
      <c r="E40" s="77" t="n"/>
      <c r="F40" s="72">
        <f>SUM(I40:O40)</f>
        <v/>
      </c>
      <c r="G40" s="72">
        <f>SUM(J40:P40)</f>
        <v/>
      </c>
      <c r="H40" s="73">
        <f>IFERROR(IF(G40&gt;0,F40/G40,"-"),"-")</f>
        <v/>
      </c>
      <c r="I40" s="74" t="n">
        <v>2</v>
      </c>
      <c r="J40" s="74">
        <f>IFERROR(IF(I40&gt;0,H40/I40,"-"),"-")</f>
        <v/>
      </c>
      <c r="K40" s="75" t="n"/>
      <c r="L40" s="74" t="n"/>
      <c r="M40" s="74">
        <f>IFERROR(IF(L40&gt;0,K40/L40,"-"),"-")</f>
        <v/>
      </c>
      <c r="N40" s="75" t="n"/>
      <c r="O40" s="74" t="n"/>
      <c r="P40" s="74">
        <f>IFERROR(IF(O40&gt;0,N40/O40,"-"),"-")</f>
        <v/>
      </c>
      <c r="Q40" s="75" t="n"/>
      <c r="R40" s="59" t="n"/>
      <c r="S40" s="59" t="n"/>
    </row>
    <row r="41" ht="15" customHeight="1">
      <c r="A41" s="70" t="n">
        <v>31</v>
      </c>
      <c r="B41" s="71" t="inlineStr">
        <is>
          <t>Future Collection</t>
        </is>
      </c>
      <c r="C41" s="70" t="inlineStr">
        <is>
          <t>SP0037</t>
        </is>
      </c>
      <c r="D41" s="71" t="inlineStr">
        <is>
          <t>Future Bakhoor 100 ml Perfume</t>
        </is>
      </c>
      <c r="E41" s="70" t="n"/>
      <c r="F41" s="72">
        <f>SUM(I41:O41)</f>
        <v/>
      </c>
      <c r="G41" s="72">
        <f>SUM(J41:P41)</f>
        <v/>
      </c>
      <c r="H41" s="73">
        <f>IFERROR(IF(G41&gt;0,F41/G41,"-"),"-")</f>
        <v/>
      </c>
      <c r="I41" s="74" t="n">
        <v>2</v>
      </c>
      <c r="J41" s="74">
        <f>IFERROR(IF(I41&gt;0,H41/I41,"-"),"-")</f>
        <v/>
      </c>
      <c r="K41" s="75" t="n"/>
      <c r="L41" s="74" t="n">
        <v>1</v>
      </c>
      <c r="M41" s="74">
        <f>IFERROR(IF(L41&gt;0,K41/L41,"-"),"-")</f>
        <v/>
      </c>
      <c r="N41" s="75" t="n"/>
      <c r="O41" s="74" t="n"/>
      <c r="P41" s="74">
        <f>IFERROR(IF(O41&gt;0,N41/O41,"-"),"-")</f>
        <v/>
      </c>
      <c r="Q41" s="75" t="n">
        <v>14</v>
      </c>
      <c r="R41" s="60" t="n"/>
      <c r="S41" s="60" t="n"/>
    </row>
    <row r="42" ht="15" customHeight="1">
      <c r="A42" s="70" t="n">
        <v>32</v>
      </c>
      <c r="B42" s="71" t="inlineStr">
        <is>
          <t>Future Collection</t>
        </is>
      </c>
      <c r="C42" s="70" t="inlineStr">
        <is>
          <t>SP0038</t>
        </is>
      </c>
      <c r="D42" s="71" t="inlineStr">
        <is>
          <t>Future Oud 100 ml Perfume</t>
        </is>
      </c>
      <c r="E42" s="70" t="n"/>
      <c r="F42" s="72">
        <f>SUM(I42:O42)</f>
        <v/>
      </c>
      <c r="G42" s="72">
        <f>SUM(J42:P42)</f>
        <v/>
      </c>
      <c r="H42" s="73">
        <f>IFERROR(IF(G42&gt;0,F42/G42,"-"),"-")</f>
        <v/>
      </c>
      <c r="I42" s="74" t="n"/>
      <c r="J42" s="74">
        <f>IFERROR(IF(I42&gt;0,H42/I42,"-"),"-")</f>
        <v/>
      </c>
      <c r="K42" s="75" t="n">
        <v>1</v>
      </c>
      <c r="L42" s="74" t="n"/>
      <c r="M42" s="74">
        <f>IFERROR(IF(L42&gt;0,K42/L42,"-"),"-")</f>
        <v/>
      </c>
      <c r="N42" s="75" t="n"/>
      <c r="O42" s="74" t="n">
        <v>1</v>
      </c>
      <c r="P42" s="74">
        <f>IFERROR(IF(O42&gt;0,N42/O42,"-"),"-")</f>
        <v/>
      </c>
      <c r="Q42" s="75" t="n">
        <v>4</v>
      </c>
      <c r="R42" s="60" t="n"/>
      <c r="S42" s="60" t="n"/>
    </row>
    <row r="43" ht="15" customHeight="1">
      <c r="A43" s="76" t="inlineStr">
        <is>
          <t xml:space="preserve">  SPECIAL SETS</t>
        </is>
      </c>
      <c r="B43" s="77" t="n"/>
      <c r="C43" s="77" t="n"/>
      <c r="D43" s="77" t="n"/>
      <c r="E43" s="77" t="n"/>
      <c r="F43" s="72">
        <f>SUM(I43:O43)</f>
        <v/>
      </c>
      <c r="G43" s="72">
        <f>SUM(J43:P43)</f>
        <v/>
      </c>
      <c r="H43" s="73">
        <f>IFERROR(IF(G43&gt;0,F43/G43,"-"),"-")</f>
        <v/>
      </c>
      <c r="I43" s="74" t="n"/>
      <c r="J43" s="74">
        <f>IFERROR(IF(I43&gt;0,H43/I43,"-"),"-")</f>
        <v/>
      </c>
      <c r="K43" s="75" t="n"/>
      <c r="L43" s="74" t="n"/>
      <c r="M43" s="74">
        <f>IFERROR(IF(L43&gt;0,K43/L43,"-"),"-")</f>
        <v/>
      </c>
      <c r="N43" s="75" t="n"/>
      <c r="O43" s="74" t="n">
        <v>1</v>
      </c>
      <c r="P43" s="74">
        <f>IFERROR(IF(O43&gt;0,N43/O43,"-"),"-")</f>
        <v/>
      </c>
      <c r="Q43" s="75" t="n"/>
      <c r="R43" s="59" t="n"/>
      <c r="S43" s="59" t="n"/>
    </row>
    <row r="44" ht="15" customHeight="1">
      <c r="A44" s="70" t="n">
        <v>33</v>
      </c>
      <c r="B44" s="71" t="inlineStr">
        <is>
          <t>Special Sets</t>
        </is>
      </c>
      <c r="C44" s="70" t="inlineStr">
        <is>
          <t>SP0001</t>
        </is>
      </c>
      <c r="D44" s="71" t="inlineStr">
        <is>
          <t>White Oud</t>
        </is>
      </c>
      <c r="E44" s="70" t="n">
        <v>1</v>
      </c>
      <c r="F44" s="72">
        <f>SUM(I44:O44)</f>
        <v/>
      </c>
      <c r="G44" s="72">
        <f>SUM(J44:P44)</f>
        <v/>
      </c>
      <c r="H44" s="73">
        <f>IFERROR(IF(G44&gt;0,F44/G44,"-"),"-")</f>
        <v/>
      </c>
      <c r="I44" s="74" t="n">
        <v>1</v>
      </c>
      <c r="J44" s="74">
        <f>IFERROR(IF(I44&gt;0,H44/I44,"-"),"-")</f>
        <v/>
      </c>
      <c r="K44" s="75" t="n"/>
      <c r="L44" s="74" t="n">
        <v>1</v>
      </c>
      <c r="M44" s="74">
        <f>IFERROR(IF(L44&gt;0,K44/L44,"-"),"-")</f>
        <v/>
      </c>
      <c r="N44" s="75" t="n">
        <v>1</v>
      </c>
      <c r="O44" s="74" t="n">
        <v>3</v>
      </c>
      <c r="P44" s="74">
        <f>IFERROR(IF(O44&gt;0,N44/O44,"-"),"-")</f>
        <v/>
      </c>
      <c r="Q44" s="75" t="n">
        <v>1</v>
      </c>
      <c r="R44" s="60" t="n"/>
      <c r="S44" s="60" t="n"/>
    </row>
    <row r="45" ht="15" customHeight="1">
      <c r="A45" s="70" t="n">
        <v>34</v>
      </c>
      <c r="B45" s="71" t="inlineStr">
        <is>
          <t>Special Sets</t>
        </is>
      </c>
      <c r="C45" s="70" t="inlineStr">
        <is>
          <t>SP0005</t>
        </is>
      </c>
      <c r="D45" s="71" t="inlineStr">
        <is>
          <t>No.4</t>
        </is>
      </c>
      <c r="E45" s="70" t="n"/>
      <c r="F45" s="72">
        <f>SUM(I45:O45)</f>
        <v/>
      </c>
      <c r="G45" s="72">
        <f>SUM(J45:P45)</f>
        <v/>
      </c>
      <c r="H45" s="73">
        <f>IFERROR(IF(G45&gt;0,F45/G45,"-"),"-")</f>
        <v/>
      </c>
      <c r="I45" s="74" t="n">
        <v>3</v>
      </c>
      <c r="J45" s="74">
        <f>IFERROR(IF(I45&gt;0,H45/I45,"-"),"-")</f>
        <v/>
      </c>
      <c r="K45" s="75" t="n"/>
      <c r="L45" s="74" t="n">
        <v>2</v>
      </c>
      <c r="M45" s="74">
        <f>IFERROR(IF(L45&gt;0,K45/L45,"-"),"-")</f>
        <v/>
      </c>
      <c r="N45" s="75" t="n"/>
      <c r="O45" s="74" t="n">
        <v>4</v>
      </c>
      <c r="P45" s="74">
        <f>IFERROR(IF(O45&gt;0,N45/O45,"-"),"-")</f>
        <v/>
      </c>
      <c r="Q45" s="75" t="n">
        <v>1</v>
      </c>
      <c r="R45" s="60" t="n"/>
      <c r="S45" s="60" t="n"/>
    </row>
    <row r="46" ht="15" customHeight="1">
      <c r="A46" s="76" t="inlineStr">
        <is>
          <t xml:space="preserve">  OILS &amp; CPO</t>
        </is>
      </c>
      <c r="B46" s="77" t="n"/>
      <c r="C46" s="77" t="n"/>
      <c r="D46" s="77" t="n"/>
      <c r="E46" s="77" t="n"/>
      <c r="F46" s="72">
        <f>SUM(I46:O46)</f>
        <v/>
      </c>
      <c r="G46" s="72">
        <f>SUM(J46:P46)</f>
        <v/>
      </c>
      <c r="H46" s="73">
        <f>IFERROR(IF(G46&gt;0,F46/G46,"-"),"-")</f>
        <v/>
      </c>
      <c r="I46" s="74" t="n">
        <v>1</v>
      </c>
      <c r="J46" s="74">
        <f>IFERROR(IF(I46&gt;0,H46/I46,"-"),"-")</f>
        <v/>
      </c>
      <c r="K46" s="75" t="n"/>
      <c r="L46" s="74" t="n">
        <v>5</v>
      </c>
      <c r="M46" s="74">
        <f>IFERROR(IF(L46&gt;0,K46/L46,"-"),"-")</f>
        <v/>
      </c>
      <c r="N46" s="75" t="n">
        <v>1</v>
      </c>
      <c r="O46" s="74" t="n">
        <v>2</v>
      </c>
      <c r="P46" s="74">
        <f>IFERROR(IF(O46&gt;0,N46/O46,"-"),"-")</f>
        <v/>
      </c>
      <c r="Q46" s="75" t="n"/>
      <c r="R46" s="59" t="n"/>
      <c r="S46" s="59" t="n"/>
    </row>
    <row r="47" ht="15" customHeight="1">
      <c r="A47" s="70" t="n">
        <v>35</v>
      </c>
      <c r="B47" s="71" t="inlineStr">
        <is>
          <t>Oils &amp; CPO</t>
        </is>
      </c>
      <c r="C47" s="70" t="inlineStr">
        <is>
          <t>I00001</t>
        </is>
      </c>
      <c r="D47" s="71" t="inlineStr">
        <is>
          <t>Hindi Special</t>
        </is>
      </c>
      <c r="E47" s="70" t="n"/>
      <c r="F47" s="72">
        <f>SUM(I47:O47)</f>
        <v/>
      </c>
      <c r="G47" s="72">
        <f>SUM(J47:P47)</f>
        <v/>
      </c>
      <c r="H47" s="73">
        <f>IFERROR(IF(G47&gt;0,F47/G47,"-"),"-")</f>
        <v/>
      </c>
      <c r="I47" s="74" t="n">
        <v>9</v>
      </c>
      <c r="J47" s="74">
        <f>IFERROR(IF(I47&gt;0,H47/I47,"-"),"-")</f>
        <v/>
      </c>
      <c r="K47" s="75" t="n">
        <v>1</v>
      </c>
      <c r="L47" s="74" t="n">
        <v>5</v>
      </c>
      <c r="M47" s="74">
        <f>IFERROR(IF(L47&gt;0,K47/L47,"-"),"-")</f>
        <v/>
      </c>
      <c r="N47" s="75" t="n"/>
      <c r="O47" s="74" t="n">
        <v>37</v>
      </c>
      <c r="P47" s="74">
        <f>IFERROR(IF(O47&gt;0,N47/O47,"-"),"-")</f>
        <v/>
      </c>
      <c r="Q47" s="75" t="n">
        <v>0</v>
      </c>
      <c r="R47" s="60" t="n"/>
      <c r="S47" s="60" t="n"/>
    </row>
    <row r="48" ht="15" customHeight="1">
      <c r="A48" s="70" t="n">
        <v>36</v>
      </c>
      <c r="B48" s="71" t="inlineStr">
        <is>
          <t>Oils &amp; CPO</t>
        </is>
      </c>
      <c r="C48" s="70" t="inlineStr">
        <is>
          <t>I00003</t>
        </is>
      </c>
      <c r="D48" s="71" t="inlineStr">
        <is>
          <t>White Oil -8 ML</t>
        </is>
      </c>
      <c r="E48" s="70" t="n">
        <v>2</v>
      </c>
      <c r="F48" s="72">
        <f>SUM(I48:O48)</f>
        <v/>
      </c>
      <c r="G48" s="72">
        <f>SUM(J48:P48)</f>
        <v/>
      </c>
      <c r="H48" s="73">
        <f>IFERROR(IF(G48&gt;0,F48/G48,"-"),"-")</f>
        <v/>
      </c>
      <c r="I48" s="74" t="n">
        <v>13</v>
      </c>
      <c r="J48" s="74">
        <f>IFERROR(IF(I48&gt;0,H48/I48,"-"),"-")</f>
        <v/>
      </c>
      <c r="K48" s="75" t="n">
        <v>5</v>
      </c>
      <c r="L48" s="74" t="n">
        <v>37</v>
      </c>
      <c r="M48" s="74">
        <f>IFERROR(IF(L48&gt;0,K48/L48,"-"),"-")</f>
        <v/>
      </c>
      <c r="N48" s="75" t="n">
        <v>2</v>
      </c>
      <c r="O48" s="74" t="n">
        <v>16</v>
      </c>
      <c r="P48" s="74">
        <f>IFERROR(IF(O48&gt;0,N48/O48,"-"),"-")</f>
        <v/>
      </c>
      <c r="Q48" s="75" t="n">
        <v>0</v>
      </c>
      <c r="R48" s="60" t="n"/>
      <c r="S48" s="60" t="n"/>
    </row>
    <row r="49" ht="15" customHeight="1">
      <c r="A49" s="70" t="n">
        <v>37</v>
      </c>
      <c r="B49" s="71" t="inlineStr">
        <is>
          <t>Oils &amp; CPO</t>
        </is>
      </c>
      <c r="C49" s="70" t="inlineStr">
        <is>
          <t>I00006</t>
        </is>
      </c>
      <c r="D49" s="71" t="inlineStr">
        <is>
          <t>Musk oil 8 ML</t>
        </is>
      </c>
      <c r="E49" s="70" t="n"/>
      <c r="F49" s="72">
        <f>SUM(I49:O49)</f>
        <v/>
      </c>
      <c r="G49" s="72">
        <f>SUM(J49:P49)</f>
        <v/>
      </c>
      <c r="H49" s="73">
        <f>IFERROR(IF(G49&gt;0,F49/G49,"-"),"-")</f>
        <v/>
      </c>
      <c r="I49" s="74" t="n"/>
      <c r="J49" s="74">
        <f>IFERROR(IF(I49&gt;0,H49/I49,"-"),"-")</f>
        <v/>
      </c>
      <c r="K49" s="75" t="n"/>
      <c r="L49" s="74" t="n">
        <v>2</v>
      </c>
      <c r="M49" s="74">
        <f>IFERROR(IF(L49&gt;0,K49/L49,"-"),"-")</f>
        <v/>
      </c>
      <c r="N49" s="75" t="n"/>
      <c r="O49" s="74" t="n">
        <v>1</v>
      </c>
      <c r="P49" s="74">
        <f>IFERROR(IF(O49&gt;0,N49/O49,"-"),"-")</f>
        <v/>
      </c>
      <c r="Q49" s="75" t="n">
        <v>0</v>
      </c>
      <c r="R49" s="60" t="n"/>
      <c r="S49" s="60" t="n"/>
    </row>
    <row r="50" ht="15" customHeight="1">
      <c r="A50" s="76" t="inlineStr">
        <is>
          <t xml:space="preserve">  ACCESSORIES</t>
        </is>
      </c>
      <c r="B50" s="77" t="n"/>
      <c r="C50" s="77" t="n"/>
      <c r="D50" s="77" t="n"/>
      <c r="E50" s="77" t="n"/>
      <c r="F50" s="72">
        <f>SUM(I50:O50)</f>
        <v/>
      </c>
      <c r="G50" s="72">
        <f>SUM(J50:P50)</f>
        <v/>
      </c>
      <c r="H50" s="73">
        <f>IFERROR(IF(G50&gt;0,F50/G50,"-"),"-")</f>
        <v/>
      </c>
      <c r="I50" s="74" t="n"/>
      <c r="J50" s="74">
        <f>IFERROR(IF(I50&gt;0,H50/I50,"-"),"-")</f>
        <v/>
      </c>
      <c r="K50" s="75" t="n"/>
      <c r="L50" s="74" t="n"/>
      <c r="M50" s="74">
        <f>IFERROR(IF(L50&gt;0,K50/L50,"-"),"-")</f>
        <v/>
      </c>
      <c r="N50" s="75" t="n"/>
      <c r="O50" s="74" t="n"/>
      <c r="P50" s="74">
        <f>IFERROR(IF(O50&gt;0,N50/O50,"-"),"-")</f>
        <v/>
      </c>
      <c r="Q50" s="75" t="n"/>
      <c r="R50" s="59" t="n"/>
      <c r="S50" s="59" t="n"/>
    </row>
    <row r="51" ht="15" customHeight="1">
      <c r="A51" s="70" t="n">
        <v>38</v>
      </c>
      <c r="B51" s="71" t="inlineStr">
        <is>
          <t>Accessories</t>
        </is>
      </c>
      <c r="C51" s="70" t="inlineStr">
        <is>
          <t>AC0001</t>
        </is>
      </c>
      <c r="D51" s="71" t="inlineStr">
        <is>
          <t>Medkhan Small</t>
        </is>
      </c>
      <c r="E51" s="70" t="n"/>
      <c r="F51" s="72">
        <f>SUM(I51:O51)</f>
        <v/>
      </c>
      <c r="G51" s="72">
        <f>SUM(J51:P51)</f>
        <v/>
      </c>
      <c r="H51" s="73">
        <f>IFERROR(IF(G51&gt;0,F51/G51,"-"),"-")</f>
        <v/>
      </c>
      <c r="I51" s="74" t="n">
        <v>1</v>
      </c>
      <c r="J51" s="74">
        <f>IFERROR(IF(I51&gt;0,H51/I51,"-"),"-")</f>
        <v/>
      </c>
      <c r="K51" s="75" t="n"/>
      <c r="L51" s="74" t="n"/>
      <c r="M51" s="74">
        <f>IFERROR(IF(L51&gt;0,K51/L51,"-"),"-")</f>
        <v/>
      </c>
      <c r="N51" s="75" t="n"/>
      <c r="O51" s="74" t="n">
        <v>2</v>
      </c>
      <c r="P51" s="74">
        <f>IFERROR(IF(O51&gt;0,N51/O51,"-"),"-")</f>
        <v/>
      </c>
      <c r="Q51" s="75" t="n">
        <v>0</v>
      </c>
      <c r="R51" s="60" t="n"/>
      <c r="S51" s="60" t="n"/>
    </row>
    <row r="52">
      <c r="A52" s="77" t="n"/>
      <c r="B52" s="77" t="n"/>
      <c r="C52" s="77" t="n"/>
      <c r="D52" s="77" t="n"/>
      <c r="E52" s="77" t="n"/>
      <c r="F52" s="72">
        <f>SUM(I52:O52)</f>
        <v/>
      </c>
      <c r="G52" s="72">
        <f>SUM(J52:P52)</f>
        <v/>
      </c>
      <c r="H52" s="73">
        <f>IFERROR(IF(G52&gt;0,F52/G52,"-"),"-")</f>
        <v/>
      </c>
      <c r="I52" s="74" t="n"/>
      <c r="J52" s="74">
        <f>IFERROR(IF(I52&gt;0,H52/I52,"-"),"-")</f>
        <v/>
      </c>
      <c r="K52" s="75" t="n"/>
      <c r="L52" s="74" t="n"/>
      <c r="M52" s="74">
        <f>IFERROR(IF(L52&gt;0,K52/L52,"-"),"-")</f>
        <v/>
      </c>
      <c r="N52" s="75" t="n"/>
      <c r="O52" s="74" t="n">
        <v>4</v>
      </c>
      <c r="P52" s="74">
        <f>IFERROR(IF(O52&gt;0,N52/O52,"-"),"-")</f>
        <v/>
      </c>
      <c r="Q52" s="75" t="n"/>
      <c r="R52" s="59" t="n"/>
      <c r="S52" s="59" t="n"/>
    </row>
    <row r="53">
      <c r="A53" s="77" t="n"/>
      <c r="B53" s="77" t="n"/>
      <c r="C53" s="77" t="n"/>
      <c r="D53" s="77" t="n"/>
      <c r="E53" s="77" t="n"/>
      <c r="F53" s="72">
        <f>SUM(I53:O53)</f>
        <v/>
      </c>
      <c r="G53" s="72">
        <f>SUM(J53:P53)</f>
        <v/>
      </c>
      <c r="H53" s="73">
        <f>IFERROR(IF(G53&gt;0,F53/G53,"-"),"-")</f>
        <v/>
      </c>
      <c r="I53" s="74" t="n">
        <v>1</v>
      </c>
      <c r="J53" s="74">
        <f>IFERROR(IF(I53&gt;0,H53/I53,"-"),"-")</f>
        <v/>
      </c>
      <c r="K53" s="75" t="n"/>
      <c r="L53" s="74" t="n"/>
      <c r="M53" s="74">
        <f>IFERROR(IF(L53&gt;0,K53/L53,"-"),"-")</f>
        <v/>
      </c>
      <c r="N53" s="75" t="n"/>
      <c r="O53" s="74" t="n">
        <v>1</v>
      </c>
      <c r="P53" s="74">
        <f>IFERROR(IF(O53&gt;0,N53/O53,"-"),"-")</f>
        <v/>
      </c>
      <c r="Q53" s="75" t="n"/>
      <c r="R53" s="59" t="n"/>
      <c r="S53" s="59" t="n"/>
    </row>
    <row r="54">
      <c r="A54" s="77" t="n"/>
      <c r="B54" s="77" t="n"/>
      <c r="C54" s="77" t="n"/>
      <c r="D54" s="77" t="n"/>
      <c r="E54" s="77" t="n"/>
      <c r="F54" s="72">
        <f>SUM(I54:O54)</f>
        <v/>
      </c>
      <c r="G54" s="72">
        <f>SUM(J54:P54)</f>
        <v/>
      </c>
      <c r="H54" s="73">
        <f>IFERROR(IF(G54&gt;0,F54/G54,"-"),"-")</f>
        <v/>
      </c>
      <c r="I54" s="74" t="n"/>
      <c r="J54" s="74">
        <f>IFERROR(IF(I54&gt;0,H54/I54,"-"),"-")</f>
        <v/>
      </c>
      <c r="K54" s="75" t="n"/>
      <c r="L54" s="74" t="n"/>
      <c r="M54" s="74">
        <f>IFERROR(IF(L54&gt;0,K54/L54,"-"),"-")</f>
        <v/>
      </c>
      <c r="N54" s="75" t="n"/>
      <c r="O54" s="74" t="n"/>
      <c r="P54" s="74">
        <f>IFERROR(IF(O54&gt;0,N54/O54,"-"),"-")</f>
        <v/>
      </c>
      <c r="Q54" s="75" t="n"/>
      <c r="R54" s="59" t="n"/>
      <c r="S54" s="59" t="n"/>
    </row>
    <row r="55">
      <c r="A55" s="77" t="n"/>
      <c r="B55" s="77" t="n"/>
      <c r="C55" s="77" t="n"/>
      <c r="D55" s="77" t="n"/>
      <c r="E55" s="77" t="n"/>
      <c r="F55" s="72">
        <f>SUM(I55:O55)</f>
        <v/>
      </c>
      <c r="G55" s="72">
        <f>SUM(J55:P55)</f>
        <v/>
      </c>
      <c r="H55" s="73">
        <f>IFERROR(IF(G55&gt;0,F55/G55,"-"),"-")</f>
        <v/>
      </c>
      <c r="I55" s="74" t="n">
        <v>3</v>
      </c>
      <c r="J55" s="74">
        <f>IFERROR(IF(I55&gt;0,H55/I55,"-"),"-")</f>
        <v/>
      </c>
      <c r="K55" s="75" t="n"/>
      <c r="L55" s="74" t="n">
        <v>4</v>
      </c>
      <c r="M55" s="74">
        <f>IFERROR(IF(L55&gt;0,K55/L55,"-"),"-")</f>
        <v/>
      </c>
      <c r="N55" s="75" t="n"/>
      <c r="O55" s="74" t="n"/>
      <c r="P55" s="74">
        <f>IFERROR(IF(O55&gt;0,N55/O55,"-"),"-")</f>
        <v/>
      </c>
      <c r="Q55" s="75" t="n"/>
      <c r="R55" s="59" t="n"/>
      <c r="S55" s="59" t="n"/>
    </row>
    <row r="56">
      <c r="A56" s="77" t="n"/>
      <c r="B56" s="77" t="n"/>
      <c r="C56" s="77" t="n"/>
      <c r="D56" s="77" t="n"/>
      <c r="E56" s="77" t="n"/>
      <c r="F56" s="72">
        <f>SUM(I56:O56)</f>
        <v/>
      </c>
      <c r="G56" s="72">
        <f>SUM(J56:P56)</f>
        <v/>
      </c>
      <c r="H56" s="73">
        <f>IFERROR(IF(G56&gt;0,F56/G56,"-"),"-")</f>
        <v/>
      </c>
      <c r="I56" s="74" t="n">
        <v>6</v>
      </c>
      <c r="J56" s="74">
        <f>IFERROR(IF(I56&gt;0,H56/I56,"-"),"-")</f>
        <v/>
      </c>
      <c r="K56" s="75" t="n">
        <v>1</v>
      </c>
      <c r="L56" s="74" t="n">
        <v>7</v>
      </c>
      <c r="M56" s="74">
        <f>IFERROR(IF(L56&gt;0,K56/L56,"-"),"-")</f>
        <v/>
      </c>
      <c r="N56" s="75" t="n">
        <v>1</v>
      </c>
      <c r="O56" s="74" t="n">
        <v>9</v>
      </c>
      <c r="P56" s="74">
        <f>IFERROR(IF(O56&gt;0,N56/O56,"-"),"-")</f>
        <v/>
      </c>
      <c r="Q56" s="75" t="n"/>
      <c r="R56" s="59" t="n"/>
      <c r="S56" s="59" t="n"/>
    </row>
    <row r="57">
      <c r="A57" s="77" t="n"/>
      <c r="B57" s="77" t="n"/>
      <c r="C57" s="77" t="n"/>
      <c r="D57" s="77" t="n"/>
      <c r="E57" s="77" t="n">
        <v>1</v>
      </c>
      <c r="F57" s="72">
        <f>SUM(I57:O57)</f>
        <v/>
      </c>
      <c r="G57" s="72">
        <f>SUM(J57:P57)</f>
        <v/>
      </c>
      <c r="H57" s="73">
        <f>IFERROR(IF(G57&gt;0,F57/G57,"-"),"-")</f>
        <v/>
      </c>
      <c r="I57" s="74" t="n">
        <v>3</v>
      </c>
      <c r="J57" s="74">
        <f>IFERROR(IF(I57&gt;0,H57/I57,"-"),"-")</f>
        <v/>
      </c>
      <c r="K57" s="75" t="n">
        <v>1</v>
      </c>
      <c r="L57" s="74" t="n">
        <v>2</v>
      </c>
      <c r="M57" s="74">
        <f>IFERROR(IF(L57&gt;0,K57/L57,"-"),"-")</f>
        <v/>
      </c>
      <c r="N57" s="75" t="n"/>
      <c r="O57" s="74" t="n">
        <v>5</v>
      </c>
      <c r="P57" s="74">
        <f>IFERROR(IF(O57&gt;0,N57/O57,"-"),"-")</f>
        <v/>
      </c>
      <c r="Q57" s="75" t="n"/>
      <c r="R57" s="59" t="n"/>
      <c r="S57" s="59" t="n"/>
    </row>
    <row r="58">
      <c r="A58" s="77" t="n"/>
      <c r="B58" s="77" t="n"/>
      <c r="C58" s="77" t="n"/>
      <c r="D58" s="77" t="n"/>
      <c r="E58" s="77" t="n">
        <v>1</v>
      </c>
      <c r="F58" s="72">
        <f>SUM(I58:O58)</f>
        <v/>
      </c>
      <c r="G58" s="72">
        <f>SUM(J58:P58)</f>
        <v/>
      </c>
      <c r="H58" s="73">
        <f>IFERROR(IF(G58&gt;0,F58/G58,"-"),"-")</f>
        <v/>
      </c>
      <c r="I58" s="74" t="n"/>
      <c r="J58" s="74">
        <f>IFERROR(IF(I58&gt;0,H58/I58,"-"),"-")</f>
        <v/>
      </c>
      <c r="K58" s="75" t="n"/>
      <c r="L58" s="74" t="n"/>
      <c r="M58" s="74">
        <f>IFERROR(IF(L58&gt;0,K58/L58,"-"),"-")</f>
        <v/>
      </c>
      <c r="N58" s="75" t="n">
        <v>1</v>
      </c>
      <c r="O58" s="74" t="n"/>
      <c r="P58" s="74">
        <f>IFERROR(IF(O58&gt;0,N58/O58,"-"),"-")</f>
        <v/>
      </c>
      <c r="Q58" s="75" t="n"/>
      <c r="R58" s="59" t="n"/>
      <c r="S58" s="59" t="n"/>
    </row>
    <row r="59">
      <c r="A59" s="77" t="n"/>
      <c r="B59" s="77" t="n"/>
      <c r="C59" s="77" t="n"/>
      <c r="D59" s="77" t="n"/>
      <c r="E59" s="77" t="n">
        <v>1</v>
      </c>
      <c r="F59" s="72">
        <f>SUM(I59:O59)</f>
        <v/>
      </c>
      <c r="G59" s="72">
        <f>SUM(J59:P59)</f>
        <v/>
      </c>
      <c r="H59" s="73">
        <f>IFERROR(IF(G59&gt;0,F59/G59,"-"),"-")</f>
        <v/>
      </c>
      <c r="I59" s="74" t="n">
        <v>1</v>
      </c>
      <c r="J59" s="74">
        <f>IFERROR(IF(I59&gt;0,H59/I59,"-"),"-")</f>
        <v/>
      </c>
      <c r="K59" s="75" t="n"/>
      <c r="L59" s="74" t="n">
        <v>11</v>
      </c>
      <c r="M59" s="74">
        <f>IFERROR(IF(L59&gt;0,K59/L59,"-"),"-")</f>
        <v/>
      </c>
      <c r="N59" s="75" t="n">
        <v>1</v>
      </c>
      <c r="O59" s="74" t="n">
        <v>3</v>
      </c>
      <c r="P59" s="74">
        <f>IFERROR(IF(O59&gt;0,N59/O59,"-"),"-")</f>
        <v/>
      </c>
      <c r="Q59" s="75" t="n"/>
      <c r="R59" s="59" t="n"/>
      <c r="S59" s="59" t="n"/>
    </row>
    <row r="60">
      <c r="A60" s="77" t="n"/>
      <c r="B60" s="77" t="n"/>
      <c r="C60" s="77" t="n"/>
      <c r="D60" s="77" t="n"/>
      <c r="E60" s="77" t="n"/>
      <c r="F60" s="72">
        <f>SUM(I60:O60)</f>
        <v/>
      </c>
      <c r="G60" s="72">
        <f>SUM(J60:P60)</f>
        <v/>
      </c>
      <c r="H60" s="73">
        <f>IFERROR(IF(G60&gt;0,F60/G60,"-"),"-")</f>
        <v/>
      </c>
      <c r="I60" s="74" t="n"/>
      <c r="J60" s="74">
        <f>IFERROR(IF(I60&gt;0,H60/I60,"-"),"-")</f>
        <v/>
      </c>
      <c r="K60" s="75" t="n"/>
      <c r="L60" s="74" t="n"/>
      <c r="M60" s="74">
        <f>IFERROR(IF(L60&gt;0,K60/L60,"-"),"-")</f>
        <v/>
      </c>
      <c r="N60" s="75" t="n"/>
      <c r="O60" s="74" t="n"/>
      <c r="P60" s="74">
        <f>IFERROR(IF(O60&gt;0,N60/O60,"-"),"-")</f>
        <v/>
      </c>
      <c r="Q60" s="75" t="n"/>
      <c r="R60" s="59" t="n"/>
      <c r="S60" s="59" t="n"/>
    </row>
    <row r="61">
      <c r="A61" s="77" t="n"/>
      <c r="B61" s="77" t="n"/>
      <c r="C61" s="77" t="n"/>
      <c r="D61" s="77" t="n"/>
      <c r="E61" s="77" t="n"/>
      <c r="F61" s="72">
        <f>SUM(I61:O61)</f>
        <v/>
      </c>
      <c r="G61" s="72">
        <f>SUM(J61:P61)</f>
        <v/>
      </c>
      <c r="H61" s="73">
        <f>IFERROR(IF(G61&gt;0,F61/G61,"-"),"-")</f>
        <v/>
      </c>
      <c r="I61" s="74" t="n">
        <v>1</v>
      </c>
      <c r="J61" s="74">
        <f>IFERROR(IF(I61&gt;0,H61/I61,"-"),"-")</f>
        <v/>
      </c>
      <c r="K61" s="75" t="n"/>
      <c r="L61" s="74" t="n">
        <v>5</v>
      </c>
      <c r="M61" s="74">
        <f>IFERROR(IF(L61&gt;0,K61/L61,"-"),"-")</f>
        <v/>
      </c>
      <c r="N61" s="75" t="n"/>
      <c r="O61" s="74" t="n">
        <v>3</v>
      </c>
      <c r="P61" s="74">
        <f>IFERROR(IF(O61&gt;0,N61/O61,"-"),"-")</f>
        <v/>
      </c>
      <c r="Q61" s="75" t="n"/>
      <c r="R61" s="59" t="n"/>
      <c r="S61" s="59" t="n"/>
    </row>
    <row r="62">
      <c r="A62" s="77" t="n"/>
      <c r="B62" s="77" t="n"/>
      <c r="C62" s="77" t="n"/>
      <c r="D62" s="77" t="n"/>
      <c r="E62" s="77" t="n"/>
      <c r="F62" s="72">
        <f>SUM(I62:O62)</f>
        <v/>
      </c>
      <c r="G62" s="72">
        <f>SUM(J62:P62)</f>
        <v/>
      </c>
      <c r="H62" s="73">
        <f>IFERROR(IF(G62&gt;0,F62/G62,"-"),"-")</f>
        <v/>
      </c>
      <c r="I62" s="74" t="n">
        <v>9</v>
      </c>
      <c r="J62" s="74">
        <f>IFERROR(IF(I62&gt;0,H62/I62,"-"),"-")</f>
        <v/>
      </c>
      <c r="K62" s="75" t="n">
        <v>3</v>
      </c>
      <c r="L62" s="74" t="n">
        <v>37</v>
      </c>
      <c r="M62" s="74">
        <f>IFERROR(IF(L62&gt;0,K62/L62,"-"),"-")</f>
        <v/>
      </c>
      <c r="N62" s="75" t="n"/>
      <c r="O62" s="74" t="n">
        <v>9</v>
      </c>
      <c r="P62" s="74">
        <f>IFERROR(IF(O62&gt;0,N62/O62,"-"),"-")</f>
        <v/>
      </c>
      <c r="Q62" s="75" t="n"/>
      <c r="R62" s="59" t="n"/>
      <c r="S62" s="59" t="n"/>
    </row>
    <row r="63">
      <c r="A63" s="77" t="n"/>
      <c r="B63" s="77" t="n"/>
      <c r="C63" s="77" t="n"/>
      <c r="D63" s="77" t="n"/>
      <c r="E63" s="77" t="n"/>
      <c r="F63" s="72">
        <f>SUM(I63:O63)</f>
        <v/>
      </c>
      <c r="G63" s="72">
        <f>SUM(J63:P63)</f>
        <v/>
      </c>
      <c r="H63" s="73">
        <f>IFERROR(IF(G63&gt;0,F63/G63,"-"),"-")</f>
        <v/>
      </c>
      <c r="I63" s="74" t="n"/>
      <c r="J63" s="74">
        <f>IFERROR(IF(I63&gt;0,H63/I63,"-"),"-")</f>
        <v/>
      </c>
      <c r="K63" s="75" t="n"/>
      <c r="L63" s="74" t="n"/>
      <c r="M63" s="74">
        <f>IFERROR(IF(L63&gt;0,K63/L63,"-"),"-")</f>
        <v/>
      </c>
      <c r="N63" s="75" t="n"/>
      <c r="O63" s="74" t="n"/>
      <c r="P63" s="74">
        <f>IFERROR(IF(O63&gt;0,N63/O63,"-"),"-")</f>
        <v/>
      </c>
      <c r="Q63" s="75" t="n"/>
      <c r="R63" s="59" t="n"/>
      <c r="S63" s="59" t="n"/>
    </row>
    <row r="64">
      <c r="A64" s="77" t="n"/>
      <c r="B64" s="77" t="n"/>
      <c r="C64" s="77" t="n"/>
      <c r="D64" s="77" t="n"/>
      <c r="E64" s="77" t="n"/>
      <c r="F64" s="72">
        <f>SUM(I64:O64)</f>
        <v/>
      </c>
      <c r="G64" s="72">
        <f>SUM(J64:P64)</f>
        <v/>
      </c>
      <c r="H64" s="73">
        <f>IFERROR(IF(G64&gt;0,F64/G64,"-"),"-")</f>
        <v/>
      </c>
      <c r="I64" s="74" t="n">
        <v>5</v>
      </c>
      <c r="J64" s="74">
        <f>IFERROR(IF(I64&gt;0,H64/I64,"-"),"-")</f>
        <v/>
      </c>
      <c r="K64" s="75" t="n">
        <v>1</v>
      </c>
      <c r="L64" s="74" t="n"/>
      <c r="M64" s="74">
        <f>IFERROR(IF(L64&gt;0,K64/L64,"-"),"-")</f>
        <v/>
      </c>
      <c r="N64" s="75" t="n"/>
      <c r="O64" s="74" t="n"/>
      <c r="P64" s="74">
        <f>IFERROR(IF(O64&gt;0,N64/O64,"-"),"-")</f>
        <v/>
      </c>
      <c r="Q64" s="75" t="n"/>
      <c r="R64" s="59" t="n"/>
      <c r="S64" s="59" t="n"/>
    </row>
  </sheetData>
  <mergeCells count="5">
    <mergeCell ref="A1:AZ1"/>
    <mergeCell ref="O3"/>
    <mergeCell ref="I3"/>
    <mergeCell ref="L3"/>
    <mergeCell ref="A2:AZ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B5E20"/>
    <outlinePr summaryBelow="1" summaryRight="1"/>
    <pageSetUpPr/>
  </sheetPr>
  <dimension ref="A1:AZ64"/>
  <sheetViews>
    <sheetView showGridLines="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2" customWidth="1" min="4" max="4"/>
    <col width="25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7.5" customWidth="1" min="18" max="18"/>
    <col width="9" customWidth="1" min="19" max="19"/>
  </cols>
  <sheetData>
    <row r="1" ht="25" customHeight="1">
      <c r="A1" s="55" t="inlineStr">
        <is>
          <t>EMIRATES PRIDE PERFUMES | TESTER CONSUMPTION | MAR 2026 | ELMATLOUB</t>
        </is>
      </c>
    </row>
    <row r="2" ht="14" customHeight="1">
      <c r="A2" s="56" t="inlineStr">
        <is>
          <t>T=Testers Dispatched (blue) | S=Sales Generated (green) | Contrib%=Contribution %</t>
        </is>
      </c>
    </row>
    <row r="3" ht="30" customHeight="1">
      <c r="A3" s="57" t="inlineStr">
        <is>
          <t>#</t>
        </is>
      </c>
      <c r="B3" s="57" t="inlineStr">
        <is>
          <t>Category</t>
        </is>
      </c>
      <c r="C3" s="57" t="inlineStr">
        <is>
          <t>Sub-Category</t>
        </is>
      </c>
      <c r="D3" s="57" t="inlineStr">
        <is>
          <t>SKU Code</t>
        </is>
      </c>
      <c r="E3" s="57" t="inlineStr">
        <is>
          <t>Product Name</t>
        </is>
      </c>
      <c r="F3" s="57" t="inlineStr">
        <is>
          <t>Grand Total
Testers</t>
        </is>
      </c>
      <c r="G3" s="57" t="inlineStr">
        <is>
          <t>Grand Total
Sales</t>
        </is>
      </c>
      <c r="H3" s="57" t="inlineStr">
        <is>
          <t>Grand Total
Contrib%</t>
        </is>
      </c>
      <c r="I3" s="58" t="inlineStr">
        <is>
          <t>Fujairah CC</t>
        </is>
      </c>
      <c r="J3" s="59" t="n"/>
      <c r="K3" s="60" t="n"/>
      <c r="L3" s="58" t="inlineStr">
        <is>
          <t>Zahia CC</t>
        </is>
      </c>
      <c r="M3" s="59" t="n"/>
      <c r="N3" s="60" t="n"/>
      <c r="O3" s="58" t="inlineStr">
        <is>
          <t>Ajman CC</t>
        </is>
      </c>
      <c r="P3" s="59" t="n"/>
      <c r="Q3" s="60" t="n"/>
      <c r="R3" s="59" t="n"/>
      <c r="S3" s="59" t="n"/>
    </row>
    <row r="4" ht="44" customHeight="1">
      <c r="A4" s="61" t="n"/>
      <c r="B4" s="61" t="n"/>
      <c r="C4" s="61" t="n"/>
      <c r="D4" s="61" t="n"/>
      <c r="E4" s="61" t="n"/>
      <c r="F4" s="61" t="inlineStr">
        <is>
          <t>T</t>
        </is>
      </c>
      <c r="G4" s="61" t="inlineStr">
        <is>
          <t>S</t>
        </is>
      </c>
      <c r="H4" s="61" t="inlineStr">
        <is>
          <t>Contrib%</t>
        </is>
      </c>
      <c r="I4" s="62" t="inlineStr">
        <is>
          <t>T</t>
        </is>
      </c>
      <c r="J4" s="62" t="inlineStr">
        <is>
          <t>S</t>
        </is>
      </c>
      <c r="K4" s="62" t="inlineStr">
        <is>
          <t>Contrib%</t>
        </is>
      </c>
      <c r="L4" s="62" t="inlineStr">
        <is>
          <t>T</t>
        </is>
      </c>
      <c r="M4" s="62" t="inlineStr">
        <is>
          <t>S</t>
        </is>
      </c>
      <c r="N4" s="62" t="inlineStr">
        <is>
          <t>Contrib%</t>
        </is>
      </c>
      <c r="O4" s="62" t="inlineStr">
        <is>
          <t>T</t>
        </is>
      </c>
      <c r="P4" s="62" t="inlineStr">
        <is>
          <t>S</t>
        </is>
      </c>
      <c r="Q4" s="62" t="inlineStr">
        <is>
          <t>Contrib%</t>
        </is>
      </c>
      <c r="R4" s="60" t="n"/>
      <c r="S4" s="60" t="n"/>
    </row>
    <row r="5" ht="20" customHeight="1">
      <c r="A5" s="63" t="inlineStr">
        <is>
          <t>GRAND TOTAL</t>
        </is>
      </c>
      <c r="B5" s="59" t="n"/>
      <c r="C5" s="59" t="n"/>
      <c r="D5" s="59" t="n"/>
      <c r="E5" s="60" t="n"/>
      <c r="F5" s="64">
        <f>SUM(F12:F64)</f>
        <v/>
      </c>
      <c r="G5" s="64">
        <f>SUM(G12:G64)</f>
        <v/>
      </c>
      <c r="H5" s="65">
        <f>IFERROR(IF(G5&gt;0,F5/G5,"-"),"-")</f>
        <v/>
      </c>
      <c r="I5" s="66">
        <f>SUM(I12:I64)</f>
        <v/>
      </c>
      <c r="J5" s="66">
        <f>SUM(J12:J64)</f>
        <v/>
      </c>
      <c r="K5" s="67">
        <f>IFERROR(IF(J5&gt;0,I5/J5,"-"),"-")</f>
        <v/>
      </c>
      <c r="L5" s="66">
        <f>SUM(L12:L64)</f>
        <v/>
      </c>
      <c r="M5" s="66">
        <f>SUM(M12:M64)</f>
        <v/>
      </c>
      <c r="N5" s="67">
        <f>IFERROR(IF(M5&gt;0,L5/M5,"-"),"-")</f>
        <v/>
      </c>
      <c r="O5" s="66">
        <f>SUM(O12:O64)</f>
        <v/>
      </c>
      <c r="P5" s="66">
        <f>SUM(P12:P64)</f>
        <v/>
      </c>
      <c r="Q5" s="67">
        <f>IFERROR(IF(P5&gt;0,O5/P5,"-"),"-")</f>
        <v/>
      </c>
      <c r="R5" s="60" t="n"/>
      <c r="S5" s="60" t="n"/>
    </row>
    <row r="6" ht="15" customHeight="1">
      <c r="A6" s="68" t="n"/>
      <c r="B6" s="59" t="n"/>
      <c r="C6" s="59" t="n"/>
      <c r="D6" s="59" t="n"/>
      <c r="E6" s="59" t="n"/>
      <c r="F6" s="59" t="n"/>
      <c r="G6" s="59" t="n"/>
      <c r="H6" s="59" t="n"/>
      <c r="I6" s="59" t="n"/>
      <c r="J6" s="59" t="n"/>
      <c r="K6" s="59" t="n"/>
      <c r="L6" s="59" t="n"/>
      <c r="M6" s="59" t="n"/>
      <c r="N6" s="59" t="n"/>
      <c r="O6" s="59" t="n"/>
      <c r="P6" s="59" t="n"/>
      <c r="Q6" s="59" t="n"/>
      <c r="R6" s="59" t="n"/>
      <c r="S6" s="59" t="n"/>
    </row>
    <row r="7" ht="15" customHeight="1">
      <c r="A7" s="60" t="n"/>
      <c r="B7" s="69" t="n"/>
      <c r="C7" s="60" t="n"/>
      <c r="D7" s="69" t="n"/>
      <c r="E7" s="60" t="n"/>
      <c r="F7" s="60" t="n"/>
      <c r="G7" s="60" t="n"/>
      <c r="H7" s="60" t="n"/>
      <c r="I7" s="60" t="n"/>
      <c r="J7" s="60" t="n"/>
      <c r="K7" s="60" t="n"/>
      <c r="L7" s="60" t="n"/>
      <c r="M7" s="60" t="n"/>
      <c r="N7" s="60" t="n"/>
      <c r="O7" s="60" t="n"/>
      <c r="P7" s="60" t="n"/>
      <c r="Q7" s="60" t="n"/>
      <c r="R7" s="60" t="n"/>
      <c r="S7" s="60" t="n"/>
    </row>
    <row r="8" ht="15" customHeight="1">
      <c r="A8" s="60" t="n"/>
      <c r="B8" s="69" t="n"/>
      <c r="C8" s="60" t="n"/>
      <c r="D8" s="69" t="n"/>
      <c r="E8" s="60" t="n"/>
      <c r="F8" s="60" t="n"/>
      <c r="G8" s="60" t="n"/>
      <c r="H8" s="60" t="n"/>
      <c r="I8" s="60" t="n"/>
      <c r="J8" s="60" t="n"/>
      <c r="K8" s="60" t="n"/>
      <c r="L8" s="60" t="n"/>
      <c r="M8" s="60" t="n"/>
      <c r="N8" s="60" t="n"/>
      <c r="O8" s="60" t="n"/>
      <c r="P8" s="60" t="n"/>
      <c r="Q8" s="60" t="n"/>
      <c r="R8" s="60" t="n"/>
      <c r="S8" s="60" t="n"/>
    </row>
    <row r="9" ht="15" customHeight="1">
      <c r="A9" s="60" t="n"/>
      <c r="B9" s="69" t="n"/>
      <c r="C9" s="60" t="n"/>
      <c r="D9" s="69" t="n"/>
      <c r="E9" s="60" t="n"/>
      <c r="F9" s="60" t="n"/>
      <c r="G9" s="60" t="n"/>
      <c r="H9" s="60" t="n"/>
      <c r="I9" s="60" t="n"/>
      <c r="J9" s="60" t="n"/>
      <c r="K9" s="60" t="n"/>
      <c r="L9" s="60" t="n"/>
      <c r="M9" s="60" t="n"/>
      <c r="N9" s="60" t="n"/>
      <c r="O9" s="60" t="n"/>
      <c r="P9" s="60" t="n"/>
      <c r="Q9" s="60" t="n"/>
      <c r="R9" s="60" t="n"/>
      <c r="S9" s="60" t="n"/>
    </row>
    <row r="10" ht="15" customHeight="1">
      <c r="A10" s="68" t="n"/>
      <c r="B10" s="59" t="n"/>
      <c r="C10" s="59" t="n"/>
      <c r="D10" s="59" t="n"/>
      <c r="E10" s="59" t="n"/>
      <c r="F10" s="59" t="n"/>
      <c r="G10" s="59" t="n"/>
      <c r="H10" s="59" t="n"/>
      <c r="I10" s="59" t="n"/>
      <c r="J10" s="59" t="n"/>
      <c r="K10" s="59" t="n"/>
      <c r="L10" s="59" t="n"/>
      <c r="M10" s="59" t="n"/>
      <c r="N10" s="59" t="n"/>
      <c r="O10" s="59" t="n"/>
      <c r="P10" s="59" t="n"/>
      <c r="Q10" s="59" t="n"/>
      <c r="R10" s="59" t="n"/>
      <c r="S10" s="59" t="n"/>
    </row>
    <row r="11" ht="15" customHeight="1">
      <c r="A11" s="60" t="n"/>
      <c r="B11" s="69" t="n"/>
      <c r="C11" s="60" t="n"/>
      <c r="D11" s="69" t="n"/>
      <c r="E11" s="60" t="n"/>
      <c r="F11" s="60" t="n"/>
      <c r="G11" s="60" t="n"/>
      <c r="H11" s="60" t="n"/>
      <c r="I11" s="60" t="n"/>
      <c r="J11" s="60" t="n"/>
      <c r="K11" s="60" t="n"/>
      <c r="L11" s="60" t="n"/>
      <c r="M11" s="60" t="n"/>
      <c r="N11" s="60" t="n"/>
      <c r="O11" s="60" t="n"/>
      <c r="P11" s="60" t="n"/>
      <c r="Q11" s="60" t="n"/>
      <c r="R11" s="60" t="n"/>
      <c r="S11" s="60" t="n"/>
    </row>
    <row r="12" ht="15" customHeight="1">
      <c r="A12" s="70" t="n">
        <v>5</v>
      </c>
      <c r="B12" s="71" t="inlineStr">
        <is>
          <t>Bel Collections</t>
        </is>
      </c>
      <c r="C12" s="70" t="inlineStr">
        <is>
          <t>B00002</t>
        </is>
      </c>
      <c r="D12" s="71" t="inlineStr">
        <is>
          <t>Jasmin bel Musk</t>
        </is>
      </c>
      <c r="E12" s="70" t="n"/>
      <c r="F12" s="72">
        <f>SUM(I12:O12)</f>
        <v/>
      </c>
      <c r="G12" s="72">
        <f>SUM(J12:P12)</f>
        <v/>
      </c>
      <c r="H12" s="73">
        <f>IFERROR(IF(G12&gt;0,F12/G12,"-"),"-")</f>
        <v/>
      </c>
      <c r="I12" s="74" t="n">
        <v>3</v>
      </c>
      <c r="J12" s="74">
        <f>IFERROR(IF(I12&gt;0,H12/I12,"-"),"-")</f>
        <v/>
      </c>
      <c r="K12" s="75" t="n"/>
      <c r="L12" s="74" t="n">
        <v>16</v>
      </c>
      <c r="M12" s="74">
        <f>IFERROR(IF(L12&gt;0,K12/L12,"-"),"-")</f>
        <v/>
      </c>
      <c r="N12" s="75" t="n">
        <v>1</v>
      </c>
      <c r="O12" s="74" t="n">
        <v>6</v>
      </c>
      <c r="P12" s="74">
        <f>IFERROR(IF(O12&gt;0,N12/O12,"-"),"-")</f>
        <v/>
      </c>
      <c r="Q12" s="75" t="n">
        <v>1</v>
      </c>
      <c r="R12" s="60" t="n"/>
      <c r="S12" s="60" t="n"/>
    </row>
    <row r="13" ht="15" customHeight="1">
      <c r="A13" s="70" t="n">
        <v>6</v>
      </c>
      <c r="B13" s="71" t="inlineStr">
        <is>
          <t>Bel Collections</t>
        </is>
      </c>
      <c r="C13" s="70" t="inlineStr">
        <is>
          <t>B00003</t>
        </is>
      </c>
      <c r="D13" s="71" t="inlineStr">
        <is>
          <t>Amber Bel oud</t>
        </is>
      </c>
      <c r="E13" s="70" t="n">
        <v>3</v>
      </c>
      <c r="F13" s="72">
        <f>SUM(I13:O13)</f>
        <v/>
      </c>
      <c r="G13" s="72">
        <f>SUM(J13:P13)</f>
        <v/>
      </c>
      <c r="H13" s="73">
        <f>IFERROR(IF(G13&gt;0,F13/G13,"-"),"-")</f>
        <v/>
      </c>
      <c r="I13" s="74" t="n">
        <v>9</v>
      </c>
      <c r="J13" s="74">
        <f>IFERROR(IF(I13&gt;0,H13/I13,"-"),"-")</f>
        <v/>
      </c>
      <c r="K13" s="75" t="n">
        <v>1</v>
      </c>
      <c r="L13" s="74" t="n">
        <v>10</v>
      </c>
      <c r="M13" s="74">
        <f>IFERROR(IF(L13&gt;0,K13/L13,"-"),"-")</f>
        <v/>
      </c>
      <c r="N13" s="75" t="n">
        <v>1</v>
      </c>
      <c r="O13" s="74" t="n">
        <v>8</v>
      </c>
      <c r="P13" s="74">
        <f>IFERROR(IF(O13&gt;0,N13/O13,"-"),"-")</f>
        <v/>
      </c>
      <c r="Q13" s="75" t="n">
        <v>1</v>
      </c>
      <c r="R13" s="60" t="n"/>
      <c r="S13" s="60" t="n"/>
    </row>
    <row r="14" ht="15" customHeight="1">
      <c r="A14" s="70" t="n">
        <v>7</v>
      </c>
      <c r="B14" s="71" t="inlineStr">
        <is>
          <t>Bel Collections</t>
        </is>
      </c>
      <c r="C14" s="70" t="inlineStr">
        <is>
          <t>B00004</t>
        </is>
      </c>
      <c r="D14" s="71" t="inlineStr">
        <is>
          <t>Meydan</t>
        </is>
      </c>
      <c r="E14" s="70" t="n">
        <v>2</v>
      </c>
      <c r="F14" s="72">
        <f>SUM(I14:O14)</f>
        <v/>
      </c>
      <c r="G14" s="72">
        <f>SUM(J14:P14)</f>
        <v/>
      </c>
      <c r="H14" s="73">
        <f>IFERROR(IF(G14&gt;0,F14/G14,"-"),"-")</f>
        <v/>
      </c>
      <c r="I14" s="74" t="n">
        <v>1</v>
      </c>
      <c r="J14" s="74">
        <f>IFERROR(IF(I14&gt;0,H14/I14,"-"),"-")</f>
        <v/>
      </c>
      <c r="K14" s="75" t="n"/>
      <c r="L14" s="74" t="n"/>
      <c r="M14" s="74">
        <f>IFERROR(IF(L14&gt;0,K14/L14,"-"),"-")</f>
        <v/>
      </c>
      <c r="N14" s="75" t="n">
        <v>1</v>
      </c>
      <c r="O14" s="74" t="n">
        <v>1</v>
      </c>
      <c r="P14" s="74">
        <f>IFERROR(IF(O14&gt;0,N14/O14,"-"),"-")</f>
        <v/>
      </c>
      <c r="Q14" s="75" t="n">
        <v>1</v>
      </c>
      <c r="R14" s="60" t="n"/>
      <c r="S14" s="60" t="n"/>
    </row>
    <row r="15" ht="15" customHeight="1">
      <c r="A15" s="70" t="n">
        <v>8</v>
      </c>
      <c r="B15" s="71" t="inlineStr">
        <is>
          <t>Bel Collections</t>
        </is>
      </c>
      <c r="C15" s="70" t="inlineStr">
        <is>
          <t>B00005</t>
        </is>
      </c>
      <c r="D15" s="71" t="inlineStr">
        <is>
          <t>Mystery</t>
        </is>
      </c>
      <c r="E15" s="70" t="n">
        <v>2</v>
      </c>
      <c r="F15" s="72">
        <f>SUM(I15:O15)</f>
        <v/>
      </c>
      <c r="G15" s="72">
        <f>SUM(J15:P15)</f>
        <v/>
      </c>
      <c r="H15" s="73">
        <f>IFERROR(IF(G15&gt;0,F15/G15,"-"),"-")</f>
        <v/>
      </c>
      <c r="I15" s="74" t="n">
        <v>6</v>
      </c>
      <c r="J15" s="74">
        <f>IFERROR(IF(I15&gt;0,H15/I15,"-"),"-")</f>
        <v/>
      </c>
      <c r="K15" s="75" t="n">
        <v>1</v>
      </c>
      <c r="L15" s="74" t="n">
        <v>13</v>
      </c>
      <c r="M15" s="74">
        <f>IFERROR(IF(L15&gt;0,K15/L15,"-"),"-")</f>
        <v/>
      </c>
      <c r="N15" s="75" t="n">
        <v>4</v>
      </c>
      <c r="O15" s="74" t="n">
        <v>19</v>
      </c>
      <c r="P15" s="74">
        <f>IFERROR(IF(O15&gt;0,N15/O15,"-"),"-")</f>
        <v/>
      </c>
      <c r="Q15" s="75" t="n">
        <v>1</v>
      </c>
      <c r="R15" s="60" t="n"/>
      <c r="S15" s="60" t="n"/>
    </row>
    <row r="16" ht="15" customHeight="1">
      <c r="A16" s="70" t="n">
        <v>9</v>
      </c>
      <c r="B16" s="71" t="inlineStr">
        <is>
          <t>Bel Collections</t>
        </is>
      </c>
      <c r="C16" s="70" t="inlineStr">
        <is>
          <t>B00006</t>
        </is>
      </c>
      <c r="D16" s="71" t="inlineStr">
        <is>
          <t>Mersal</t>
        </is>
      </c>
      <c r="E16" s="70" t="n">
        <v>5</v>
      </c>
      <c r="F16" s="72">
        <f>SUM(I16:O16)</f>
        <v/>
      </c>
      <c r="G16" s="72">
        <f>SUM(J16:P16)</f>
        <v/>
      </c>
      <c r="H16" s="73">
        <f>IFERROR(IF(G16&gt;0,F16/G16,"-"),"-")</f>
        <v/>
      </c>
      <c r="I16" s="74" t="n">
        <v>36</v>
      </c>
      <c r="J16" s="74">
        <f>IFERROR(IF(I16&gt;0,H16/I16,"-"),"-")</f>
        <v/>
      </c>
      <c r="K16" s="75" t="n">
        <v>8</v>
      </c>
      <c r="L16" s="74" t="n">
        <v>42</v>
      </c>
      <c r="M16" s="74">
        <f>IFERROR(IF(L16&gt;0,K16/L16,"-"),"-")</f>
        <v/>
      </c>
      <c r="N16" s="75" t="n">
        <v>7</v>
      </c>
      <c r="O16" s="74" t="n">
        <v>62</v>
      </c>
      <c r="P16" s="74">
        <f>IFERROR(IF(O16&gt;0,N16/O16,"-"),"-")</f>
        <v/>
      </c>
      <c r="Q16" s="75" t="n">
        <v>6</v>
      </c>
      <c r="R16" s="60" t="n"/>
      <c r="S16" s="60" t="n"/>
    </row>
    <row r="17" ht="15" customHeight="1">
      <c r="A17" s="70" t="n">
        <v>10</v>
      </c>
      <c r="B17" s="71" t="inlineStr">
        <is>
          <t>Bel Collections</t>
        </is>
      </c>
      <c r="C17" s="70" t="inlineStr">
        <is>
          <t>B00007</t>
        </is>
      </c>
      <c r="D17" s="71" t="inlineStr">
        <is>
          <t>Peaceful Life</t>
        </is>
      </c>
      <c r="E17" s="70" t="n"/>
      <c r="F17" s="72">
        <f>SUM(I17:O17)</f>
        <v/>
      </c>
      <c r="G17" s="72">
        <f>SUM(J17:P17)</f>
        <v/>
      </c>
      <c r="H17" s="73">
        <f>IFERROR(IF(G17&gt;0,F17/G17,"-"),"-")</f>
        <v/>
      </c>
      <c r="I17" s="74" t="n">
        <v>2</v>
      </c>
      <c r="J17" s="74">
        <f>IFERROR(IF(I17&gt;0,H17/I17,"-"),"-")</f>
        <v/>
      </c>
      <c r="K17" s="75" t="n">
        <v>1</v>
      </c>
      <c r="L17" s="74" t="n">
        <v>3</v>
      </c>
      <c r="M17" s="74">
        <f>IFERROR(IF(L17&gt;0,K17/L17,"-"),"-")</f>
        <v/>
      </c>
      <c r="N17" s="75" t="n"/>
      <c r="O17" s="74" t="n">
        <v>1</v>
      </c>
      <c r="P17" s="74">
        <f>IFERROR(IF(O17&gt;0,N17/O17,"-"),"-")</f>
        <v/>
      </c>
      <c r="Q17" s="75" t="n">
        <v>2</v>
      </c>
      <c r="R17" s="60" t="n"/>
      <c r="S17" s="60" t="n"/>
    </row>
    <row r="18" ht="15" customHeight="1">
      <c r="A18" s="70" t="n">
        <v>11</v>
      </c>
      <c r="B18" s="71" t="inlineStr">
        <is>
          <t>Bel Collections</t>
        </is>
      </c>
      <c r="C18" s="70" t="inlineStr">
        <is>
          <t>B00008</t>
        </is>
      </c>
      <c r="D18" s="71" t="inlineStr">
        <is>
          <t>Midnight Glow</t>
        </is>
      </c>
      <c r="E18" s="70" t="n"/>
      <c r="F18" s="72">
        <f>SUM(I18:O18)</f>
        <v/>
      </c>
      <c r="G18" s="72">
        <f>SUM(J18:P18)</f>
        <v/>
      </c>
      <c r="H18" s="73">
        <f>IFERROR(IF(G18&gt;0,F18/G18,"-"),"-")</f>
        <v/>
      </c>
      <c r="I18" s="74" t="n">
        <v>2</v>
      </c>
      <c r="J18" s="74">
        <f>IFERROR(IF(I18&gt;0,H18/I18,"-"),"-")</f>
        <v/>
      </c>
      <c r="K18" s="75" t="n">
        <v>1</v>
      </c>
      <c r="L18" s="74" t="n">
        <v>1</v>
      </c>
      <c r="M18" s="74">
        <f>IFERROR(IF(L18&gt;0,K18/L18,"-"),"-")</f>
        <v/>
      </c>
      <c r="N18" s="75" t="n"/>
      <c r="O18" s="74" t="n">
        <v>7</v>
      </c>
      <c r="P18" s="74">
        <f>IFERROR(IF(O18&gt;0,N18/O18,"-"),"-")</f>
        <v/>
      </c>
      <c r="Q18" s="75" t="n">
        <v>1</v>
      </c>
      <c r="R18" s="60" t="n"/>
      <c r="S18" s="60" t="n"/>
    </row>
    <row r="19" ht="15" customHeight="1">
      <c r="A19" s="70" t="n">
        <v>12</v>
      </c>
      <c r="B19" s="71" t="inlineStr">
        <is>
          <t>Bel Collections</t>
        </is>
      </c>
      <c r="C19" s="70" t="inlineStr">
        <is>
          <t>B00010</t>
        </is>
      </c>
      <c r="D19" s="71" t="inlineStr">
        <is>
          <t>Sakura</t>
        </is>
      </c>
      <c r="E19" s="70" t="n">
        <v>2</v>
      </c>
      <c r="F19" s="72">
        <f>SUM(I19:O19)</f>
        <v/>
      </c>
      <c r="G19" s="72">
        <f>SUM(J19:P19)</f>
        <v/>
      </c>
      <c r="H19" s="73">
        <f>IFERROR(IF(G19&gt;0,F19/G19,"-"),"-")</f>
        <v/>
      </c>
      <c r="I19" s="74" t="n">
        <v>2</v>
      </c>
      <c r="J19" s="74">
        <f>IFERROR(IF(I19&gt;0,H19/I19,"-"),"-")</f>
        <v/>
      </c>
      <c r="K19" s="75" t="n"/>
      <c r="L19" s="74" t="n">
        <v>4</v>
      </c>
      <c r="M19" s="74">
        <f>IFERROR(IF(L19&gt;0,K19/L19,"-"),"-")</f>
        <v/>
      </c>
      <c r="N19" s="75" t="n"/>
      <c r="O19" s="74" t="n">
        <v>7</v>
      </c>
      <c r="P19" s="74">
        <f>IFERROR(IF(O19&gt;0,N19/O19,"-"),"-")</f>
        <v/>
      </c>
      <c r="Q19" s="75" t="n">
        <v>1</v>
      </c>
      <c r="R19" s="60" t="n"/>
      <c r="S19" s="60" t="n"/>
    </row>
    <row r="20" ht="15" customHeight="1">
      <c r="A20" s="70" t="n">
        <v>13</v>
      </c>
      <c r="B20" s="71" t="inlineStr">
        <is>
          <t>Bel Collections</t>
        </is>
      </c>
      <c r="C20" s="70" t="inlineStr">
        <is>
          <t>B00012</t>
        </is>
      </c>
      <c r="D20" s="71" t="inlineStr">
        <is>
          <t>Ambergris</t>
        </is>
      </c>
      <c r="E20" s="70" t="n">
        <v>2</v>
      </c>
      <c r="F20" s="72">
        <f>SUM(I20:O20)</f>
        <v/>
      </c>
      <c r="G20" s="72">
        <f>SUM(J20:P20)</f>
        <v/>
      </c>
      <c r="H20" s="73">
        <f>IFERROR(IF(G20&gt;0,F20/G20,"-"),"-")</f>
        <v/>
      </c>
      <c r="I20" s="74" t="n">
        <v>22</v>
      </c>
      <c r="J20" s="74">
        <f>IFERROR(IF(I20&gt;0,H20/I20,"-"),"-")</f>
        <v/>
      </c>
      <c r="K20" s="75" t="n">
        <v>7</v>
      </c>
      <c r="L20" s="74" t="n">
        <v>35</v>
      </c>
      <c r="M20" s="74">
        <f>IFERROR(IF(L20&gt;0,K20/L20,"-"),"-")</f>
        <v/>
      </c>
      <c r="N20" s="75" t="n">
        <v>9</v>
      </c>
      <c r="O20" s="74" t="n">
        <v>68</v>
      </c>
      <c r="P20" s="74">
        <f>IFERROR(IF(O20&gt;0,N20/O20,"-"),"-")</f>
        <v/>
      </c>
      <c r="Q20" s="75" t="n">
        <v>4</v>
      </c>
      <c r="R20" s="60" t="n"/>
      <c r="S20" s="60" t="n"/>
    </row>
    <row r="21" ht="15" customHeight="1">
      <c r="A21" s="70" t="n">
        <v>14</v>
      </c>
      <c r="B21" s="71" t="inlineStr">
        <is>
          <t>Bel Collections</t>
        </is>
      </c>
      <c r="C21" s="70" t="inlineStr">
        <is>
          <t>B00014</t>
        </is>
      </c>
      <c r="D21" s="71" t="inlineStr">
        <is>
          <t>Firewood</t>
        </is>
      </c>
      <c r="E21" s="70" t="n">
        <v>1</v>
      </c>
      <c r="F21" s="72">
        <f>SUM(I21:O21)</f>
        <v/>
      </c>
      <c r="G21" s="72">
        <f>SUM(J21:P21)</f>
        <v/>
      </c>
      <c r="H21" s="73">
        <f>IFERROR(IF(G21&gt;0,F21/G21,"-"),"-")</f>
        <v/>
      </c>
      <c r="I21" s="74" t="n">
        <v>3</v>
      </c>
      <c r="J21" s="74">
        <f>IFERROR(IF(I21&gt;0,H21/I21,"-"),"-")</f>
        <v/>
      </c>
      <c r="K21" s="75" t="n">
        <v>4</v>
      </c>
      <c r="L21" s="74" t="n">
        <v>1</v>
      </c>
      <c r="M21" s="74">
        <f>IFERROR(IF(L21&gt;0,K21/L21,"-"),"-")</f>
        <v/>
      </c>
      <c r="N21" s="75" t="n">
        <v>4</v>
      </c>
      <c r="O21" s="74" t="n">
        <v>3</v>
      </c>
      <c r="P21" s="74">
        <f>IFERROR(IF(O21&gt;0,N21/O21,"-"),"-")</f>
        <v/>
      </c>
      <c r="Q21" s="75" t="n">
        <v>2</v>
      </c>
      <c r="R21" s="60" t="n"/>
      <c r="S21" s="60" t="n"/>
    </row>
    <row r="22" ht="15" customHeight="1">
      <c r="A22" s="70" t="n">
        <v>15</v>
      </c>
      <c r="B22" s="71" t="inlineStr">
        <is>
          <t>Bel Collections</t>
        </is>
      </c>
      <c r="C22" s="70" t="inlineStr">
        <is>
          <t>B00015</t>
        </is>
      </c>
      <c r="D22" s="71" t="inlineStr">
        <is>
          <t>Hidden Leather</t>
        </is>
      </c>
      <c r="E22" s="70" t="n">
        <v>4</v>
      </c>
      <c r="F22" s="72">
        <f>SUM(I22:O22)</f>
        <v/>
      </c>
      <c r="G22" s="72">
        <f>SUM(J22:P22)</f>
        <v/>
      </c>
      <c r="H22" s="73">
        <f>IFERROR(IF(G22&gt;0,F22/G22,"-"),"-")</f>
        <v/>
      </c>
      <c r="I22" s="74" t="n">
        <v>7</v>
      </c>
      <c r="J22" s="74">
        <f>IFERROR(IF(I22&gt;0,H22/I22,"-"),"-")</f>
        <v/>
      </c>
      <c r="K22" s="75" t="n">
        <v>2</v>
      </c>
      <c r="L22" s="74" t="n">
        <v>14</v>
      </c>
      <c r="M22" s="74">
        <f>IFERROR(IF(L22&gt;0,K22/L22,"-"),"-")</f>
        <v/>
      </c>
      <c r="N22" s="75" t="n">
        <v>3</v>
      </c>
      <c r="O22" s="74" t="n">
        <v>13</v>
      </c>
      <c r="P22" s="74">
        <f>IFERROR(IF(O22&gt;0,N22/O22,"-"),"-")</f>
        <v/>
      </c>
      <c r="Q22" s="75" t="n">
        <v>1</v>
      </c>
      <c r="R22" s="60" t="n"/>
      <c r="S22" s="60" t="n"/>
    </row>
    <row r="23" ht="15" customHeight="1">
      <c r="A23" s="70" t="n">
        <v>16</v>
      </c>
      <c r="B23" s="71" t="inlineStr">
        <is>
          <t>Bel Collections</t>
        </is>
      </c>
      <c r="C23" s="70" t="inlineStr">
        <is>
          <t>B00016</t>
        </is>
      </c>
      <c r="D23" s="71" t="inlineStr">
        <is>
          <t>Mysterious Rose</t>
        </is>
      </c>
      <c r="E23" s="70" t="n">
        <v>1</v>
      </c>
      <c r="F23" s="72">
        <f>SUM(I23:O23)</f>
        <v/>
      </c>
      <c r="G23" s="72">
        <f>SUM(J23:P23)</f>
        <v/>
      </c>
      <c r="H23" s="73">
        <f>IFERROR(IF(G23&gt;0,F23/G23,"-"),"-")</f>
        <v/>
      </c>
      <c r="I23" s="74" t="n">
        <v>4</v>
      </c>
      <c r="J23" s="74">
        <f>IFERROR(IF(I23&gt;0,H23/I23,"-"),"-")</f>
        <v/>
      </c>
      <c r="K23" s="75" t="n">
        <v>2</v>
      </c>
      <c r="L23" s="74" t="n">
        <v>12</v>
      </c>
      <c r="M23" s="74">
        <f>IFERROR(IF(L23&gt;0,K23/L23,"-"),"-")</f>
        <v/>
      </c>
      <c r="N23" s="75" t="n">
        <v>2</v>
      </c>
      <c r="O23" s="74" t="n">
        <v>6</v>
      </c>
      <c r="P23" s="74">
        <f>IFERROR(IF(O23&gt;0,N23/O23,"-"),"-")</f>
        <v/>
      </c>
      <c r="Q23" s="75" t="n"/>
      <c r="R23" s="60" t="n"/>
      <c r="S23" s="60" t="n"/>
    </row>
    <row r="24" ht="15" customHeight="1">
      <c r="A24" s="70" t="n">
        <v>17</v>
      </c>
      <c r="B24" s="71" t="inlineStr">
        <is>
          <t>Bel Collections</t>
        </is>
      </c>
      <c r="C24" s="70" t="inlineStr">
        <is>
          <t>B00017</t>
        </is>
      </c>
      <c r="D24" s="71" t="inlineStr">
        <is>
          <t>Thekrayat</t>
        </is>
      </c>
      <c r="E24" s="70" t="n">
        <v>5</v>
      </c>
      <c r="F24" s="72">
        <f>SUM(I24:O24)</f>
        <v/>
      </c>
      <c r="G24" s="72">
        <f>SUM(J24:P24)</f>
        <v/>
      </c>
      <c r="H24" s="73">
        <f>IFERROR(IF(G24&gt;0,F24/G24,"-"),"-")</f>
        <v/>
      </c>
      <c r="I24" s="74" t="n">
        <v>12</v>
      </c>
      <c r="J24" s="74">
        <f>IFERROR(IF(I24&gt;0,H24/I24,"-"),"-")</f>
        <v/>
      </c>
      <c r="K24" s="75" t="n">
        <v>4</v>
      </c>
      <c r="L24" s="74" t="n">
        <v>14</v>
      </c>
      <c r="M24" s="74">
        <f>IFERROR(IF(L24&gt;0,K24/L24,"-"),"-")</f>
        <v/>
      </c>
      <c r="N24" s="75" t="n">
        <v>6</v>
      </c>
      <c r="O24" s="74" t="n">
        <v>30</v>
      </c>
      <c r="P24" s="74">
        <f>IFERROR(IF(O24&gt;0,N24/O24,"-"),"-")</f>
        <v/>
      </c>
      <c r="Q24" s="75" t="n">
        <v>1</v>
      </c>
      <c r="R24" s="60" t="n"/>
      <c r="S24" s="60" t="n"/>
    </row>
    <row r="25" ht="15" customHeight="1">
      <c r="A25" s="70" t="n">
        <v>18</v>
      </c>
      <c r="B25" s="71" t="inlineStr">
        <is>
          <t>Bel Collections</t>
        </is>
      </c>
      <c r="C25" s="70" t="inlineStr">
        <is>
          <t>B00018</t>
        </is>
      </c>
      <c r="D25" s="71" t="inlineStr">
        <is>
          <t>Hidden Tobacco</t>
        </is>
      </c>
      <c r="E25" s="70" t="n">
        <v>4</v>
      </c>
      <c r="F25" s="72">
        <f>SUM(I25:O25)</f>
        <v/>
      </c>
      <c r="G25" s="72">
        <f>SUM(J25:P25)</f>
        <v/>
      </c>
      <c r="H25" s="73">
        <f>IFERROR(IF(G25&gt;0,F25/G25,"-"),"-")</f>
        <v/>
      </c>
      <c r="I25" s="74" t="n">
        <v>51</v>
      </c>
      <c r="J25" s="74">
        <f>IFERROR(IF(I25&gt;0,H25/I25,"-"),"-")</f>
        <v/>
      </c>
      <c r="K25" s="75" t="n">
        <v>6</v>
      </c>
      <c r="L25" s="74" t="n"/>
      <c r="M25" s="74">
        <f>IFERROR(IF(L25&gt;0,K25/L25,"-"),"-")</f>
        <v/>
      </c>
      <c r="N25" s="75" t="n">
        <v>4</v>
      </c>
      <c r="O25" s="74" t="n">
        <v>40</v>
      </c>
      <c r="P25" s="74">
        <f>IFERROR(IF(O25&gt;0,N25/O25,"-"),"-")</f>
        <v/>
      </c>
      <c r="Q25" s="75" t="n">
        <v>5</v>
      </c>
      <c r="R25" s="60" t="n"/>
      <c r="S25" s="60" t="n"/>
    </row>
    <row r="26" ht="15" customHeight="1">
      <c r="A26" s="70" t="n">
        <v>19</v>
      </c>
      <c r="B26" s="71" t="inlineStr">
        <is>
          <t>Bel Collections</t>
        </is>
      </c>
      <c r="C26" s="70" t="inlineStr">
        <is>
          <t>B00019</t>
        </is>
      </c>
      <c r="D26" s="71" t="inlineStr">
        <is>
          <t>Masters Perfume 100ml</t>
        </is>
      </c>
      <c r="E26" s="70" t="n">
        <v>10</v>
      </c>
      <c r="F26" s="72">
        <f>SUM(I26:O26)</f>
        <v/>
      </c>
      <c r="G26" s="72">
        <f>SUM(J26:P26)</f>
        <v/>
      </c>
      <c r="H26" s="73">
        <f>IFERROR(IF(G26&gt;0,F26/G26,"-"),"-")</f>
        <v/>
      </c>
      <c r="I26" s="74" t="n">
        <v>137</v>
      </c>
      <c r="J26" s="74">
        <f>IFERROR(IF(I26&gt;0,H26/I26,"-"),"-")</f>
        <v/>
      </c>
      <c r="K26" s="75" t="n">
        <v>8</v>
      </c>
      <c r="L26" s="74" t="n"/>
      <c r="M26" s="74">
        <f>IFERROR(IF(L26&gt;0,K26/L26,"-"),"-")</f>
        <v/>
      </c>
      <c r="N26" s="75" t="n">
        <v>8</v>
      </c>
      <c r="O26" s="74" t="n">
        <v>83</v>
      </c>
      <c r="P26" s="74">
        <f>IFERROR(IF(O26&gt;0,N26/O26,"-"),"-")</f>
        <v/>
      </c>
      <c r="Q26" s="75" t="n">
        <v>6</v>
      </c>
      <c r="R26" s="60" t="n"/>
      <c r="S26" s="60" t="n"/>
    </row>
    <row r="27" ht="15" customHeight="1">
      <c r="A27" s="70" t="n">
        <v>20</v>
      </c>
      <c r="B27" s="71" t="inlineStr">
        <is>
          <t>Bel Collections</t>
        </is>
      </c>
      <c r="C27" s="70" t="inlineStr">
        <is>
          <t>B00020</t>
        </is>
      </c>
      <c r="D27" s="71" t="inlineStr">
        <is>
          <t>Masters Signature 100ml Perfume - Tester</t>
        </is>
      </c>
      <c r="E27" s="70" t="n"/>
      <c r="F27" s="72">
        <f>SUM(I27:O27)</f>
        <v/>
      </c>
      <c r="G27" s="72">
        <f>SUM(J27:P27)</f>
        <v/>
      </c>
      <c r="H27" s="73">
        <f>IFERROR(IF(G27&gt;0,F27/G27,"-"),"-")</f>
        <v/>
      </c>
      <c r="I27" s="74" t="n"/>
      <c r="J27" s="74">
        <f>IFERROR(IF(I27&gt;0,H27/I27,"-"),"-")</f>
        <v/>
      </c>
      <c r="K27" s="75" t="n">
        <v>1</v>
      </c>
      <c r="L27" s="74" t="n"/>
      <c r="M27" s="74">
        <f>IFERROR(IF(L27&gt;0,K27/L27,"-"),"-")</f>
        <v/>
      </c>
      <c r="N27" s="75" t="n"/>
      <c r="O27" s="74" t="n"/>
      <c r="P27" s="74">
        <f>IFERROR(IF(O27&gt;0,N27/O27,"-"),"-")</f>
        <v/>
      </c>
      <c r="Q27" s="75" t="n"/>
      <c r="R27" s="60" t="n"/>
      <c r="S27" s="60" t="n"/>
    </row>
    <row r="28" ht="15" customHeight="1">
      <c r="A28" s="70" t="n">
        <v>21</v>
      </c>
      <c r="B28" s="71" t="inlineStr">
        <is>
          <t>Bel Collections</t>
        </is>
      </c>
      <c r="C28" s="70" t="inlineStr">
        <is>
          <t>B00021</t>
        </is>
      </c>
      <c r="D28" s="71" t="inlineStr">
        <is>
          <t>Midnight Bloom 100 ML</t>
        </is>
      </c>
      <c r="E28" s="70" t="n"/>
      <c r="F28" s="72">
        <f>SUM(I28:O28)</f>
        <v/>
      </c>
      <c r="G28" s="72">
        <f>SUM(J28:P28)</f>
        <v/>
      </c>
      <c r="H28" s="73">
        <f>IFERROR(IF(G28&gt;0,F28/G28,"-"),"-")</f>
        <v/>
      </c>
      <c r="I28" s="74" t="n">
        <v>13</v>
      </c>
      <c r="J28" s="74">
        <f>IFERROR(IF(I28&gt;0,H28/I28,"-"),"-")</f>
        <v/>
      </c>
      <c r="K28" s="75" t="n"/>
      <c r="L28" s="74" t="n">
        <v>31</v>
      </c>
      <c r="M28" s="74">
        <f>IFERROR(IF(L28&gt;0,K28/L28,"-"),"-")</f>
        <v/>
      </c>
      <c r="N28" s="75" t="n"/>
      <c r="O28" s="74" t="n">
        <v>33</v>
      </c>
      <c r="P28" s="74">
        <f>IFERROR(IF(O28&gt;0,N28/O28,"-"),"-")</f>
        <v/>
      </c>
      <c r="Q28" s="75" t="n"/>
      <c r="R28" s="60" t="n"/>
      <c r="S28" s="60" t="n"/>
    </row>
    <row r="29" ht="15" customHeight="1">
      <c r="A29" s="76" t="inlineStr">
        <is>
          <t xml:space="preserve">  CABALLO COLLECTION</t>
        </is>
      </c>
      <c r="B29" s="77" t="n"/>
      <c r="C29" s="77" t="n"/>
      <c r="D29" s="77" t="n"/>
      <c r="E29" s="77" t="n"/>
      <c r="F29" s="72">
        <f>SUM(I29:O29)</f>
        <v/>
      </c>
      <c r="G29" s="72">
        <f>SUM(J29:P29)</f>
        <v/>
      </c>
      <c r="H29" s="73">
        <f>IFERROR(IF(G29&gt;0,F29/G29,"-"),"-")</f>
        <v/>
      </c>
      <c r="I29" s="74" t="n">
        <v>8</v>
      </c>
      <c r="J29" s="74">
        <f>IFERROR(IF(I29&gt;0,H29/I29,"-"),"-")</f>
        <v/>
      </c>
      <c r="K29" s="75" t="n">
        <v>1</v>
      </c>
      <c r="L29" s="74" t="n">
        <v>11</v>
      </c>
      <c r="M29" s="74">
        <f>IFERROR(IF(L29&gt;0,K29/L29,"-"),"-")</f>
        <v/>
      </c>
      <c r="N29" s="75" t="n"/>
      <c r="O29" s="74" t="n">
        <v>9</v>
      </c>
      <c r="P29" s="74">
        <f>IFERROR(IF(O29&gt;0,N29/O29,"-"),"-")</f>
        <v/>
      </c>
      <c r="Q29" s="75" t="n"/>
      <c r="R29" s="59" t="n"/>
      <c r="S29" s="59" t="n"/>
    </row>
    <row r="30" ht="15" customHeight="1">
      <c r="A30" s="70" t="n">
        <v>22</v>
      </c>
      <c r="B30" s="71" t="inlineStr">
        <is>
          <t>Caballo Collection</t>
        </is>
      </c>
      <c r="C30" s="70" t="inlineStr">
        <is>
          <t>C00004</t>
        </is>
      </c>
      <c r="D30" s="71" t="inlineStr">
        <is>
          <t>Maroon Perfume 100 ML</t>
        </is>
      </c>
      <c r="E30" s="70" t="n">
        <v>1</v>
      </c>
      <c r="F30" s="72">
        <f>SUM(I30:O30)</f>
        <v/>
      </c>
      <c r="G30" s="72">
        <f>SUM(J30:P30)</f>
        <v/>
      </c>
      <c r="H30" s="73">
        <f>IFERROR(IF(G30&gt;0,F30/G30,"-"),"-")</f>
        <v/>
      </c>
      <c r="I30" s="74" t="n">
        <v>4</v>
      </c>
      <c r="J30" s="74">
        <f>IFERROR(IF(I30&gt;0,H30/I30,"-"),"-")</f>
        <v/>
      </c>
      <c r="K30" s="75" t="n">
        <v>1</v>
      </c>
      <c r="L30" s="74" t="n">
        <v>4</v>
      </c>
      <c r="M30" s="74">
        <f>IFERROR(IF(L30&gt;0,K30/L30,"-"),"-")</f>
        <v/>
      </c>
      <c r="N30" s="75" t="n">
        <v>1</v>
      </c>
      <c r="O30" s="74" t="n">
        <v>8</v>
      </c>
      <c r="P30" s="74">
        <f>IFERROR(IF(O30&gt;0,N30/O30,"-"),"-")</f>
        <v/>
      </c>
      <c r="Q30" s="75" t="n"/>
      <c r="R30" s="60" t="n"/>
      <c r="S30" s="60" t="n"/>
    </row>
    <row r="31" ht="15" customHeight="1">
      <c r="A31" s="70" t="n">
        <v>23</v>
      </c>
      <c r="B31" s="71" t="inlineStr">
        <is>
          <t>Caballo Collection</t>
        </is>
      </c>
      <c r="C31" s="70" t="inlineStr">
        <is>
          <t>C00010</t>
        </is>
      </c>
      <c r="D31" s="71" t="inlineStr">
        <is>
          <t>Maroon Intense</t>
        </is>
      </c>
      <c r="E31" s="70" t="n">
        <v>1</v>
      </c>
      <c r="F31" s="72">
        <f>SUM(I31:O31)</f>
        <v/>
      </c>
      <c r="G31" s="72">
        <f>SUM(J31:P31)</f>
        <v/>
      </c>
      <c r="H31" s="73">
        <f>IFERROR(IF(G31&gt;0,F31/G31,"-"),"-")</f>
        <v/>
      </c>
      <c r="I31" s="74" t="n"/>
      <c r="J31" s="74">
        <f>IFERROR(IF(I31&gt;0,H31/I31,"-"),"-")</f>
        <v/>
      </c>
      <c r="K31" s="75" t="n"/>
      <c r="L31" s="74" t="n">
        <v>1</v>
      </c>
      <c r="M31" s="74">
        <f>IFERROR(IF(L31&gt;0,K31/L31,"-"),"-")</f>
        <v/>
      </c>
      <c r="N31" s="75" t="n">
        <v>1</v>
      </c>
      <c r="O31" s="74" t="n">
        <v>3</v>
      </c>
      <c r="P31" s="74">
        <f>IFERROR(IF(O31&gt;0,N31/O31,"-"),"-")</f>
        <v/>
      </c>
      <c r="Q31" s="75" t="n">
        <v>1</v>
      </c>
      <c r="R31" s="60" t="n"/>
      <c r="S31" s="60" t="n"/>
    </row>
    <row r="32" ht="15" customHeight="1">
      <c r="A32" s="70" t="n">
        <v>24</v>
      </c>
      <c r="B32" s="71" t="inlineStr">
        <is>
          <t>Caballo Collection</t>
        </is>
      </c>
      <c r="C32" s="70" t="inlineStr">
        <is>
          <t>C00011</t>
        </is>
      </c>
      <c r="D32" s="71" t="inlineStr">
        <is>
          <t>Violet Perfume 100ml</t>
        </is>
      </c>
      <c r="E32" s="70" t="n">
        <v>1</v>
      </c>
      <c r="F32" s="72">
        <f>SUM(I32:O32)</f>
        <v/>
      </c>
      <c r="G32" s="72">
        <f>SUM(J32:P32)</f>
        <v/>
      </c>
      <c r="H32" s="73">
        <f>IFERROR(IF(G32&gt;0,F32/G32,"-"),"-")</f>
        <v/>
      </c>
      <c r="I32" s="74" t="n"/>
      <c r="J32" s="74">
        <f>IFERROR(IF(I32&gt;0,H32/I32,"-"),"-")</f>
        <v/>
      </c>
      <c r="K32" s="75" t="n"/>
      <c r="L32" s="74" t="n"/>
      <c r="M32" s="74">
        <f>IFERROR(IF(L32&gt;0,K32/L32,"-"),"-")</f>
        <v/>
      </c>
      <c r="N32" s="75" t="n">
        <v>1</v>
      </c>
      <c r="O32" s="74" t="n"/>
      <c r="P32" s="74">
        <f>IFERROR(IF(O32&gt;0,N32/O32,"-"),"-")</f>
        <v/>
      </c>
      <c r="Q32" s="75" t="n">
        <v>1</v>
      </c>
      <c r="R32" s="60" t="n"/>
      <c r="S32" s="60" t="n"/>
    </row>
    <row r="33" ht="15" customHeight="1">
      <c r="A33" s="70" t="n">
        <v>25</v>
      </c>
      <c r="B33" s="71" t="inlineStr">
        <is>
          <t>Caballo Collection</t>
        </is>
      </c>
      <c r="C33" s="70" t="inlineStr">
        <is>
          <t>C00012</t>
        </is>
      </c>
      <c r="D33" s="71" t="inlineStr">
        <is>
          <t>Navy Perfume 100ml</t>
        </is>
      </c>
      <c r="E33" s="70" t="n">
        <v>3</v>
      </c>
      <c r="F33" s="72">
        <f>SUM(I33:O33)</f>
        <v/>
      </c>
      <c r="G33" s="72">
        <f>SUM(J33:P33)</f>
        <v/>
      </c>
      <c r="H33" s="73">
        <f>IFERROR(IF(G33&gt;0,F33/G33,"-"),"-")</f>
        <v/>
      </c>
      <c r="I33" s="74" t="n">
        <v>7</v>
      </c>
      <c r="J33" s="74">
        <f>IFERROR(IF(I33&gt;0,H33/I33,"-"),"-")</f>
        <v/>
      </c>
      <c r="K33" s="75" t="n">
        <v>3</v>
      </c>
      <c r="L33" s="74" t="n">
        <v>12</v>
      </c>
      <c r="M33" s="74">
        <f>IFERROR(IF(L33&gt;0,K33/L33,"-"),"-")</f>
        <v/>
      </c>
      <c r="N33" s="75" t="n">
        <v>2</v>
      </c>
      <c r="O33" s="74" t="n">
        <v>19</v>
      </c>
      <c r="P33" s="74">
        <f>IFERROR(IF(O33&gt;0,N33/O33,"-"),"-")</f>
        <v/>
      </c>
      <c r="Q33" s="75" t="n">
        <v>1</v>
      </c>
      <c r="R33" s="60" t="n"/>
      <c r="S33" s="60" t="n"/>
    </row>
    <row r="34" ht="15" customHeight="1">
      <c r="A34" s="70" t="n">
        <v>26</v>
      </c>
      <c r="B34" s="71" t="inlineStr">
        <is>
          <t>Caballo Collection</t>
        </is>
      </c>
      <c r="C34" s="70" t="inlineStr">
        <is>
          <t>C00013</t>
        </is>
      </c>
      <c r="D34" s="71" t="inlineStr">
        <is>
          <t>White Overdose Perfume 100ml</t>
        </is>
      </c>
      <c r="E34" s="70" t="n"/>
      <c r="F34" s="72">
        <f>SUM(I34:O34)</f>
        <v/>
      </c>
      <c r="G34" s="72">
        <f>SUM(J34:P34)</f>
        <v/>
      </c>
      <c r="H34" s="73">
        <f>IFERROR(IF(G34&gt;0,F34/G34,"-"),"-")</f>
        <v/>
      </c>
      <c r="I34" s="74" t="n">
        <v>3</v>
      </c>
      <c r="J34" s="74">
        <f>IFERROR(IF(I34&gt;0,H34/I34,"-"),"-")</f>
        <v/>
      </c>
      <c r="K34" s="75" t="n">
        <v>1</v>
      </c>
      <c r="L34" s="74" t="n"/>
      <c r="M34" s="74">
        <f>IFERROR(IF(L34&gt;0,K34/L34,"-"),"-")</f>
        <v/>
      </c>
      <c r="N34" s="75" t="n"/>
      <c r="O34" s="74" t="n">
        <v>3</v>
      </c>
      <c r="P34" s="74">
        <f>IFERROR(IF(O34&gt;0,N34/O34,"-"),"-")</f>
        <v/>
      </c>
      <c r="Q34" s="75" t="n"/>
      <c r="R34" s="60" t="n"/>
      <c r="S34" s="60" t="n"/>
    </row>
    <row r="35" ht="15" customHeight="1">
      <c r="A35" s="70" t="n">
        <v>27</v>
      </c>
      <c r="B35" s="71" t="inlineStr">
        <is>
          <t>Caballo Collection</t>
        </is>
      </c>
      <c r="C35" s="70" t="inlineStr">
        <is>
          <t>C00014</t>
        </is>
      </c>
      <c r="D35" s="71" t="inlineStr">
        <is>
          <t>Black Perfume 100ml</t>
        </is>
      </c>
      <c r="E35" s="70" t="n">
        <v>2</v>
      </c>
      <c r="F35" s="72">
        <f>SUM(I35:O35)</f>
        <v/>
      </c>
      <c r="G35" s="72">
        <f>SUM(J35:P35)</f>
        <v/>
      </c>
      <c r="H35" s="73">
        <f>IFERROR(IF(G35&gt;0,F35/G35,"-"),"-")</f>
        <v/>
      </c>
      <c r="I35" s="74" t="n"/>
      <c r="J35" s="74">
        <f>IFERROR(IF(I35&gt;0,H35/I35,"-"),"-")</f>
        <v/>
      </c>
      <c r="K35" s="75" t="n">
        <v>1</v>
      </c>
      <c r="L35" s="74" t="n">
        <v>5</v>
      </c>
      <c r="M35" s="74">
        <f>IFERROR(IF(L35&gt;0,K35/L35,"-"),"-")</f>
        <v/>
      </c>
      <c r="N35" s="75" t="n"/>
      <c r="O35" s="74" t="n">
        <v>2</v>
      </c>
      <c r="P35" s="74">
        <f>IFERROR(IF(O35&gt;0,N35/O35,"-"),"-")</f>
        <v/>
      </c>
      <c r="Q35" s="75" t="n"/>
      <c r="R35" s="60" t="n"/>
      <c r="S35" s="60" t="n"/>
    </row>
    <row r="36" ht="15" customHeight="1">
      <c r="A36" s="76" t="inlineStr">
        <is>
          <t xml:space="preserve">  DAKHOON COLLECTION</t>
        </is>
      </c>
      <c r="B36" s="77" t="n"/>
      <c r="C36" s="77" t="n"/>
      <c r="D36" s="77" t="n"/>
      <c r="E36" s="77" t="n">
        <v>2</v>
      </c>
      <c r="F36" s="72">
        <f>SUM(I36:O36)</f>
        <v/>
      </c>
      <c r="G36" s="72">
        <f>SUM(J36:P36)</f>
        <v/>
      </c>
      <c r="H36" s="73">
        <f>IFERROR(IF(G36&gt;0,F36/G36,"-"),"-")</f>
        <v/>
      </c>
      <c r="I36" s="74" t="n">
        <v>12</v>
      </c>
      <c r="J36" s="74">
        <f>IFERROR(IF(I36&gt;0,H36/I36,"-"),"-")</f>
        <v/>
      </c>
      <c r="K36" s="75" t="n">
        <v>3</v>
      </c>
      <c r="L36" s="74" t="n">
        <v>12</v>
      </c>
      <c r="M36" s="74">
        <f>IFERROR(IF(L36&gt;0,K36/L36,"-"),"-")</f>
        <v/>
      </c>
      <c r="N36" s="75" t="n">
        <v>4</v>
      </c>
      <c r="O36" s="74" t="n">
        <v>22</v>
      </c>
      <c r="P36" s="74">
        <f>IFERROR(IF(O36&gt;0,N36/O36,"-"),"-")</f>
        <v/>
      </c>
      <c r="Q36" s="75" t="n">
        <v>2</v>
      </c>
      <c r="R36" s="59" t="n"/>
      <c r="S36" s="59" t="n"/>
    </row>
    <row r="37" ht="15" customHeight="1">
      <c r="A37" s="70" t="n">
        <v>28</v>
      </c>
      <c r="B37" s="71" t="inlineStr">
        <is>
          <t>Dakhoon Collection</t>
        </is>
      </c>
      <c r="C37" s="70" t="inlineStr">
        <is>
          <t>D00001</t>
        </is>
      </c>
      <c r="D37" s="71" t="inlineStr">
        <is>
          <t>Dakhoon Al Emarat</t>
        </is>
      </c>
      <c r="E37" s="70" t="n">
        <v>1</v>
      </c>
      <c r="F37" s="72">
        <f>SUM(I37:O37)</f>
        <v/>
      </c>
      <c r="G37" s="72">
        <f>SUM(J37:P37)</f>
        <v/>
      </c>
      <c r="H37" s="73">
        <f>IFERROR(IF(G37&gt;0,F37/G37,"-"),"-")</f>
        <v/>
      </c>
      <c r="I37" s="74" t="n">
        <v>2</v>
      </c>
      <c r="J37" s="74">
        <f>IFERROR(IF(I37&gt;0,H37/I37,"-"),"-")</f>
        <v/>
      </c>
      <c r="K37" s="75" t="n">
        <v>1</v>
      </c>
      <c r="L37" s="74" t="n">
        <v>2</v>
      </c>
      <c r="M37" s="74">
        <f>IFERROR(IF(L37&gt;0,K37/L37,"-"),"-")</f>
        <v/>
      </c>
      <c r="N37" s="75" t="n">
        <v>1</v>
      </c>
      <c r="O37" s="74" t="n">
        <v>3</v>
      </c>
      <c r="P37" s="74">
        <f>IFERROR(IF(O37&gt;0,N37/O37,"-"),"-")</f>
        <v/>
      </c>
      <c r="Q37" s="75" t="n">
        <v>2</v>
      </c>
      <c r="R37" s="60" t="n"/>
      <c r="S37" s="60" t="n"/>
    </row>
    <row r="38" ht="15" customHeight="1">
      <c r="A38" s="70" t="n">
        <v>29</v>
      </c>
      <c r="B38" s="71" t="inlineStr">
        <is>
          <t>Dakhoon Collection</t>
        </is>
      </c>
      <c r="C38" s="70" t="inlineStr">
        <is>
          <t>D00002</t>
        </is>
      </c>
      <c r="D38" s="71" t="inlineStr">
        <is>
          <t>Dakhoon Al Marasim</t>
        </is>
      </c>
      <c r="E38" s="70" t="n">
        <v>1</v>
      </c>
      <c r="F38" s="72">
        <f>SUM(I38:O38)</f>
        <v/>
      </c>
      <c r="G38" s="72">
        <f>SUM(J38:P38)</f>
        <v/>
      </c>
      <c r="H38" s="73">
        <f>IFERROR(IF(G38&gt;0,F38/G38,"-"),"-")</f>
        <v/>
      </c>
      <c r="I38" s="74" t="n">
        <v>1</v>
      </c>
      <c r="J38" s="74">
        <f>IFERROR(IF(I38&gt;0,H38/I38,"-"),"-")</f>
        <v/>
      </c>
      <c r="K38" s="75" t="n">
        <v>2</v>
      </c>
      <c r="L38" s="74" t="n">
        <v>2</v>
      </c>
      <c r="M38" s="74">
        <f>IFERROR(IF(L38&gt;0,K38/L38,"-"),"-")</f>
        <v/>
      </c>
      <c r="N38" s="75" t="n">
        <v>3</v>
      </c>
      <c r="O38" s="74" t="n">
        <v>5</v>
      </c>
      <c r="P38" s="74">
        <f>IFERROR(IF(O38&gt;0,N38/O38,"-"),"-")</f>
        <v/>
      </c>
      <c r="Q38" s="75" t="n">
        <v>2</v>
      </c>
      <c r="R38" s="60" t="n"/>
      <c r="S38" s="60" t="n"/>
    </row>
    <row r="39" ht="15" customHeight="1">
      <c r="A39" s="70" t="n">
        <v>30</v>
      </c>
      <c r="B39" s="71" t="inlineStr">
        <is>
          <t>Dakhoon Collection</t>
        </is>
      </c>
      <c r="C39" s="70" t="inlineStr">
        <is>
          <t>D00003</t>
        </is>
      </c>
      <c r="D39" s="71" t="inlineStr">
        <is>
          <t>Dakhoon Badia</t>
        </is>
      </c>
      <c r="E39" s="70" t="n">
        <v>1</v>
      </c>
      <c r="F39" s="72">
        <f>SUM(I39:O39)</f>
        <v/>
      </c>
      <c r="G39" s="72">
        <f>SUM(J39:P39)</f>
        <v/>
      </c>
      <c r="H39" s="73">
        <f>IFERROR(IF(G39&gt;0,F39/G39,"-"),"-")</f>
        <v/>
      </c>
      <c r="I39" s="74" t="n">
        <v>3</v>
      </c>
      <c r="J39" s="74">
        <f>IFERROR(IF(I39&gt;0,H39/I39,"-"),"-")</f>
        <v/>
      </c>
      <c r="K39" s="75" t="n">
        <v>1</v>
      </c>
      <c r="L39" s="74" t="n">
        <v>10</v>
      </c>
      <c r="M39" s="74">
        <f>IFERROR(IF(L39&gt;0,K39/L39,"-"),"-")</f>
        <v/>
      </c>
      <c r="N39" s="75" t="n">
        <v>4</v>
      </c>
      <c r="O39" s="74" t="n">
        <v>17</v>
      </c>
      <c r="P39" s="74">
        <f>IFERROR(IF(O39&gt;0,N39/O39,"-"),"-")</f>
        <v/>
      </c>
      <c r="Q39" s="75" t="n">
        <v>1</v>
      </c>
      <c r="R39" s="60" t="n"/>
      <c r="S39" s="60" t="n"/>
    </row>
    <row r="40" ht="15" customHeight="1">
      <c r="A40" s="70" t="n">
        <v>31</v>
      </c>
      <c r="B40" s="71" t="inlineStr">
        <is>
          <t>Dakhoon Collection</t>
        </is>
      </c>
      <c r="C40" s="70" t="inlineStr">
        <is>
          <t>D00004</t>
        </is>
      </c>
      <c r="D40" s="71" t="inlineStr">
        <is>
          <t>Dakhoon Al Dar</t>
        </is>
      </c>
      <c r="E40" s="70" t="n">
        <v>1</v>
      </c>
      <c r="F40" s="72">
        <f>SUM(I40:O40)</f>
        <v/>
      </c>
      <c r="G40" s="72">
        <f>SUM(J40:P40)</f>
        <v/>
      </c>
      <c r="H40" s="73">
        <f>IFERROR(IF(G40&gt;0,F40/G40,"-"),"-")</f>
        <v/>
      </c>
      <c r="I40" s="74" t="n">
        <v>1</v>
      </c>
      <c r="J40" s="74">
        <f>IFERROR(IF(I40&gt;0,H40/I40,"-"),"-")</f>
        <v/>
      </c>
      <c r="K40" s="75" t="n"/>
      <c r="L40" s="74" t="n">
        <v>1</v>
      </c>
      <c r="M40" s="74">
        <f>IFERROR(IF(L40&gt;0,K40/L40,"-"),"-")</f>
        <v/>
      </c>
      <c r="N40" s="75" t="n"/>
      <c r="O40" s="74" t="n"/>
      <c r="P40" s="74">
        <f>IFERROR(IF(O40&gt;0,N40/O40,"-"),"-")</f>
        <v/>
      </c>
      <c r="Q40" s="75" t="n">
        <v>2</v>
      </c>
      <c r="R40" s="60" t="n"/>
      <c r="S40" s="60" t="n"/>
    </row>
    <row r="41" ht="15" customHeight="1">
      <c r="A41" s="70" t="n">
        <v>32</v>
      </c>
      <c r="B41" s="71" t="inlineStr">
        <is>
          <t>Dakhoon Collection</t>
        </is>
      </c>
      <c r="C41" s="70" t="inlineStr">
        <is>
          <t>D00005</t>
        </is>
      </c>
      <c r="D41" s="71" t="inlineStr">
        <is>
          <t>Dakhoon Al Barzah</t>
        </is>
      </c>
      <c r="E41" s="70" t="n"/>
      <c r="F41" s="72">
        <f>SUM(I41:O41)</f>
        <v/>
      </c>
      <c r="G41" s="72">
        <f>SUM(J41:P41)</f>
        <v/>
      </c>
      <c r="H41" s="73">
        <f>IFERROR(IF(G41&gt;0,F41/G41,"-"),"-")</f>
        <v/>
      </c>
      <c r="I41" s="74" t="n">
        <v>1</v>
      </c>
      <c r="J41" s="74">
        <f>IFERROR(IF(I41&gt;0,H41/I41,"-"),"-")</f>
        <v/>
      </c>
      <c r="K41" s="75" t="n"/>
      <c r="L41" s="74" t="n"/>
      <c r="M41" s="74">
        <f>IFERROR(IF(L41&gt;0,K41/L41,"-"),"-")</f>
        <v/>
      </c>
      <c r="N41" s="75" t="n">
        <v>1</v>
      </c>
      <c r="O41" s="74" t="n"/>
      <c r="P41" s="74">
        <f>IFERROR(IF(O41&gt;0,N41/O41,"-"),"-")</f>
        <v/>
      </c>
      <c r="Q41" s="75" t="n">
        <v>1</v>
      </c>
      <c r="R41" s="60" t="n"/>
      <c r="S41" s="60" t="n"/>
    </row>
    <row r="42" ht="15" customHeight="1">
      <c r="A42" s="70" t="n">
        <v>33</v>
      </c>
      <c r="B42" s="71" t="inlineStr">
        <is>
          <t>Dakhoon Collection</t>
        </is>
      </c>
      <c r="C42" s="70" t="inlineStr">
        <is>
          <t>D00008</t>
        </is>
      </c>
      <c r="D42" s="71" t="inlineStr">
        <is>
          <t>Dakhoon Retaj</t>
        </is>
      </c>
      <c r="E42" s="70" t="n"/>
      <c r="F42" s="72">
        <f>SUM(I42:O42)</f>
        <v/>
      </c>
      <c r="G42" s="72">
        <f>SUM(J42:P42)</f>
        <v/>
      </c>
      <c r="H42" s="73">
        <f>IFERROR(IF(G42&gt;0,F42/G42,"-"),"-")</f>
        <v/>
      </c>
      <c r="I42" s="74" t="n">
        <v>1</v>
      </c>
      <c r="J42" s="74">
        <f>IFERROR(IF(I42&gt;0,H42/I42,"-"),"-")</f>
        <v/>
      </c>
      <c r="K42" s="75" t="n">
        <v>1</v>
      </c>
      <c r="L42" s="74" t="n"/>
      <c r="M42" s="74">
        <f>IFERROR(IF(L42&gt;0,K42/L42,"-"),"-")</f>
        <v/>
      </c>
      <c r="N42" s="75" t="n">
        <v>1</v>
      </c>
      <c r="O42" s="74" t="n"/>
      <c r="P42" s="74">
        <f>IFERROR(IF(O42&gt;0,N42/O42,"-"),"-")</f>
        <v/>
      </c>
      <c r="Q42" s="75" t="n"/>
      <c r="R42" s="60" t="n"/>
      <c r="S42" s="60" t="n"/>
    </row>
    <row r="43" ht="15" customHeight="1">
      <c r="A43" s="76" t="inlineStr">
        <is>
          <t xml:space="preserve">  OUD COLLECTION</t>
        </is>
      </c>
      <c r="B43" s="77" t="n"/>
      <c r="C43" s="77" t="n"/>
      <c r="D43" s="77" t="n"/>
      <c r="E43" s="77" t="n"/>
      <c r="F43" s="72">
        <f>SUM(I43:O43)</f>
        <v/>
      </c>
      <c r="G43" s="72">
        <f>SUM(J43:P43)</f>
        <v/>
      </c>
      <c r="H43" s="73">
        <f>IFERROR(IF(G43&gt;0,F43/G43,"-"),"-")</f>
        <v/>
      </c>
      <c r="I43" s="74" t="n">
        <v>2</v>
      </c>
      <c r="J43" s="74">
        <f>IFERROR(IF(I43&gt;0,H43/I43,"-"),"-")</f>
        <v/>
      </c>
      <c r="K43" s="75" t="n"/>
      <c r="L43" s="74" t="n"/>
      <c r="M43" s="74">
        <f>IFERROR(IF(L43&gt;0,K43/L43,"-"),"-")</f>
        <v/>
      </c>
      <c r="N43" s="75" t="n"/>
      <c r="O43" s="74" t="n">
        <v>1</v>
      </c>
      <c r="P43" s="74">
        <f>IFERROR(IF(O43&gt;0,N43/O43,"-"),"-")</f>
        <v/>
      </c>
      <c r="Q43" s="75" t="n"/>
      <c r="R43" s="59" t="n"/>
      <c r="S43" s="59" t="n"/>
    </row>
    <row r="44" ht="15" customHeight="1">
      <c r="A44" s="70" t="n">
        <v>34</v>
      </c>
      <c r="B44" s="71" t="inlineStr">
        <is>
          <t>Oud Collection</t>
        </is>
      </c>
      <c r="C44" s="70" t="inlineStr">
        <is>
          <t>O00001</t>
        </is>
      </c>
      <c r="D44" s="71" t="inlineStr">
        <is>
          <t>Oud Amiri</t>
        </is>
      </c>
      <c r="E44" s="70" t="n"/>
      <c r="F44" s="72">
        <f>SUM(I44:O44)</f>
        <v/>
      </c>
      <c r="G44" s="72">
        <f>SUM(J44:P44)</f>
        <v/>
      </c>
      <c r="H44" s="73">
        <f>IFERROR(IF(G44&gt;0,F44/G44,"-"),"-")</f>
        <v/>
      </c>
      <c r="I44" s="74" t="n">
        <v>3</v>
      </c>
      <c r="J44" s="74">
        <f>IFERROR(IF(I44&gt;0,H44/I44,"-"),"-")</f>
        <v/>
      </c>
      <c r="K44" s="75" t="n"/>
      <c r="L44" s="74" t="n">
        <v>4</v>
      </c>
      <c r="M44" s="74">
        <f>IFERROR(IF(L44&gt;0,K44/L44,"-"),"-")</f>
        <v/>
      </c>
      <c r="N44" s="75" t="n"/>
      <c r="O44" s="74" t="n">
        <v>4</v>
      </c>
      <c r="P44" s="74">
        <f>IFERROR(IF(O44&gt;0,N44/O44,"-"),"-")</f>
        <v/>
      </c>
      <c r="Q44" s="75" t="n">
        <v>1</v>
      </c>
      <c r="R44" s="60" t="n"/>
      <c r="S44" s="60" t="n"/>
    </row>
    <row r="45" ht="15" customHeight="1">
      <c r="A45" s="70" t="n">
        <v>35</v>
      </c>
      <c r="B45" s="71" t="inlineStr">
        <is>
          <t>Oud Collection</t>
        </is>
      </c>
      <c r="C45" s="70" t="inlineStr">
        <is>
          <t>O00002</t>
        </is>
      </c>
      <c r="D45" s="71" t="inlineStr">
        <is>
          <t>Oud Meydan</t>
        </is>
      </c>
      <c r="E45" s="70" t="n">
        <v>1</v>
      </c>
      <c r="F45" s="72">
        <f>SUM(I45:O45)</f>
        <v/>
      </c>
      <c r="G45" s="72">
        <f>SUM(J45:P45)</f>
        <v/>
      </c>
      <c r="H45" s="73">
        <f>IFERROR(IF(G45&gt;0,F45/G45,"-"),"-")</f>
        <v/>
      </c>
      <c r="I45" s="74" t="n">
        <v>1</v>
      </c>
      <c r="J45" s="74">
        <f>IFERROR(IF(I45&gt;0,H45/I45,"-"),"-")</f>
        <v/>
      </c>
      <c r="K45" s="75" t="n"/>
      <c r="L45" s="74" t="n">
        <v>2</v>
      </c>
      <c r="M45" s="74">
        <f>IFERROR(IF(L45&gt;0,K45/L45,"-"),"-")</f>
        <v/>
      </c>
      <c r="N45" s="75" t="n"/>
      <c r="O45" s="74" t="n">
        <v>5</v>
      </c>
      <c r="P45" s="74">
        <f>IFERROR(IF(O45&gt;0,N45/O45,"-"),"-")</f>
        <v/>
      </c>
      <c r="Q45" s="75" t="n"/>
      <c r="R45" s="60" t="n"/>
      <c r="S45" s="60" t="n"/>
    </row>
    <row r="46" ht="15" customHeight="1">
      <c r="A46" s="70" t="n">
        <v>36</v>
      </c>
      <c r="B46" s="71" t="inlineStr">
        <is>
          <t>Oud Collection</t>
        </is>
      </c>
      <c r="C46" s="70" t="inlineStr">
        <is>
          <t>O00006</t>
        </is>
      </c>
      <c r="D46" s="71" t="inlineStr">
        <is>
          <t>Oud Al Fakhamah</t>
        </is>
      </c>
      <c r="E46" s="70" t="n">
        <v>1</v>
      </c>
      <c r="F46" s="72">
        <f>SUM(I46:O46)</f>
        <v/>
      </c>
      <c r="G46" s="72">
        <f>SUM(J46:P46)</f>
        <v/>
      </c>
      <c r="H46" s="73">
        <f>IFERROR(IF(G46&gt;0,F46/G46,"-"),"-")</f>
        <v/>
      </c>
      <c r="I46" s="74" t="n">
        <v>1</v>
      </c>
      <c r="J46" s="74">
        <f>IFERROR(IF(I46&gt;0,H46/I46,"-"),"-")</f>
        <v/>
      </c>
      <c r="K46" s="75" t="n"/>
      <c r="L46" s="74" t="n">
        <v>1</v>
      </c>
      <c r="M46" s="74">
        <f>IFERROR(IF(L46&gt;0,K46/L46,"-"),"-")</f>
        <v/>
      </c>
      <c r="N46" s="75" t="n"/>
      <c r="O46" s="74" t="n">
        <v>3</v>
      </c>
      <c r="P46" s="74">
        <f>IFERROR(IF(O46&gt;0,N46/O46,"-"),"-")</f>
        <v/>
      </c>
      <c r="Q46" s="75" t="n"/>
      <c r="R46" s="60" t="n"/>
      <c r="S46" s="60" t="n"/>
    </row>
    <row r="47" ht="15" customHeight="1">
      <c r="A47" s="76" t="inlineStr">
        <is>
          <t xml:space="preserve">  FUTURE COLLECTION</t>
        </is>
      </c>
      <c r="B47" s="77" t="n"/>
      <c r="C47" s="77" t="n"/>
      <c r="D47" s="77" t="n"/>
      <c r="E47" s="77" t="n"/>
      <c r="F47" s="72">
        <f>SUM(I47:O47)</f>
        <v/>
      </c>
      <c r="G47" s="72">
        <f>SUM(J47:P47)</f>
        <v/>
      </c>
      <c r="H47" s="73">
        <f>IFERROR(IF(G47&gt;0,F47/G47,"-"),"-")</f>
        <v/>
      </c>
      <c r="I47" s="74" t="n"/>
      <c r="J47" s="74">
        <f>IFERROR(IF(I47&gt;0,H47/I47,"-"),"-")</f>
        <v/>
      </c>
      <c r="K47" s="75" t="n"/>
      <c r="L47" s="74" t="n"/>
      <c r="M47" s="74">
        <f>IFERROR(IF(L47&gt;0,K47/L47,"-"),"-")</f>
        <v/>
      </c>
      <c r="N47" s="75" t="n"/>
      <c r="O47" s="74" t="n">
        <v>1</v>
      </c>
      <c r="P47" s="74">
        <f>IFERROR(IF(O47&gt;0,N47/O47,"-"),"-")</f>
        <v/>
      </c>
      <c r="Q47" s="75" t="n"/>
      <c r="R47" s="59" t="n"/>
      <c r="S47" s="59" t="n"/>
    </row>
    <row r="48" ht="15" customHeight="1">
      <c r="A48" s="70" t="n">
        <v>37</v>
      </c>
      <c r="B48" s="71" t="inlineStr">
        <is>
          <t>Future Collection</t>
        </is>
      </c>
      <c r="C48" s="70" t="inlineStr">
        <is>
          <t>SP0037</t>
        </is>
      </c>
      <c r="D48" s="71" t="inlineStr">
        <is>
          <t>Future Bakhoor 100 ml Perfume</t>
        </is>
      </c>
      <c r="E48" s="70" t="n">
        <v>4</v>
      </c>
      <c r="F48" s="72">
        <f>SUM(I48:O48)</f>
        <v/>
      </c>
      <c r="G48" s="72">
        <f>SUM(J48:P48)</f>
        <v/>
      </c>
      <c r="H48" s="73">
        <f>IFERROR(IF(G48&gt;0,F48/G48,"-"),"-")</f>
        <v/>
      </c>
      <c r="I48" s="74" t="n">
        <v>41</v>
      </c>
      <c r="J48" s="74">
        <f>IFERROR(IF(I48&gt;0,H48/I48,"-"),"-")</f>
        <v/>
      </c>
      <c r="K48" s="75" t="n">
        <v>7</v>
      </c>
      <c r="L48" s="74" t="n"/>
      <c r="M48" s="74">
        <f>IFERROR(IF(L48&gt;0,K48/L48,"-"),"-")</f>
        <v/>
      </c>
      <c r="N48" s="75" t="n">
        <v>6</v>
      </c>
      <c r="O48" s="74" t="n">
        <v>49</v>
      </c>
      <c r="P48" s="74">
        <f>IFERROR(IF(O48&gt;0,N48/O48,"-"),"-")</f>
        <v/>
      </c>
      <c r="Q48" s="75" t="n">
        <v>3</v>
      </c>
      <c r="R48" s="60" t="n"/>
      <c r="S48" s="60" t="n"/>
    </row>
    <row r="49" ht="15" customHeight="1">
      <c r="A49" s="70" t="n">
        <v>38</v>
      </c>
      <c r="B49" s="71" t="inlineStr">
        <is>
          <t>Future Collection</t>
        </is>
      </c>
      <c r="C49" s="70" t="inlineStr">
        <is>
          <t>SP0038</t>
        </is>
      </c>
      <c r="D49" s="71" t="inlineStr">
        <is>
          <t>Future Oud 100 ml Perfume</t>
        </is>
      </c>
      <c r="E49" s="70" t="n"/>
      <c r="F49" s="72">
        <f>SUM(I49:O49)</f>
        <v/>
      </c>
      <c r="G49" s="72">
        <f>SUM(J49:P49)</f>
        <v/>
      </c>
      <c r="H49" s="73">
        <f>IFERROR(IF(G49&gt;0,F49/G49,"-"),"-")</f>
        <v/>
      </c>
      <c r="I49" s="74" t="n">
        <v>1</v>
      </c>
      <c r="J49" s="74">
        <f>IFERROR(IF(I49&gt;0,H49/I49,"-"),"-")</f>
        <v/>
      </c>
      <c r="K49" s="75" t="n"/>
      <c r="L49" s="74" t="n"/>
      <c r="M49" s="74">
        <f>IFERROR(IF(L49&gt;0,K49/L49,"-"),"-")</f>
        <v/>
      </c>
      <c r="N49" s="75" t="n">
        <v>1</v>
      </c>
      <c r="O49" s="74" t="n">
        <v>1</v>
      </c>
      <c r="P49" s="74">
        <f>IFERROR(IF(O49&gt;0,N49/O49,"-"),"-")</f>
        <v/>
      </c>
      <c r="Q49" s="75" t="n"/>
      <c r="R49" s="60" t="n"/>
      <c r="S49" s="60" t="n"/>
    </row>
    <row r="50" ht="15" customHeight="1">
      <c r="A50" s="76" t="inlineStr">
        <is>
          <t xml:space="preserve">  SPECIAL SETS</t>
        </is>
      </c>
      <c r="B50" s="77" t="n"/>
      <c r="C50" s="77" t="n"/>
      <c r="D50" s="77" t="n"/>
      <c r="E50" s="77" t="n"/>
      <c r="F50" s="72">
        <f>SUM(I50:O50)</f>
        <v/>
      </c>
      <c r="G50" s="72">
        <f>SUM(J50:P50)</f>
        <v/>
      </c>
      <c r="H50" s="73">
        <f>IFERROR(IF(G50&gt;0,F50/G50,"-"),"-")</f>
        <v/>
      </c>
      <c r="I50" s="74" t="n"/>
      <c r="J50" s="74">
        <f>IFERROR(IF(I50&gt;0,H50/I50,"-"),"-")</f>
        <v/>
      </c>
      <c r="K50" s="75" t="n"/>
      <c r="L50" s="74" t="n"/>
      <c r="M50" s="74">
        <f>IFERROR(IF(L50&gt;0,K50/L50,"-"),"-")</f>
        <v/>
      </c>
      <c r="N50" s="75" t="n"/>
      <c r="O50" s="74" t="n"/>
      <c r="P50" s="74">
        <f>IFERROR(IF(O50&gt;0,N50/O50,"-"),"-")</f>
        <v/>
      </c>
      <c r="Q50" s="75" t="n"/>
      <c r="R50" s="59" t="n"/>
      <c r="S50" s="59" t="n"/>
    </row>
    <row r="51" ht="15" customHeight="1">
      <c r="A51" s="70" t="n">
        <v>39</v>
      </c>
      <c r="B51" s="71" t="inlineStr">
        <is>
          <t>Special Sets</t>
        </is>
      </c>
      <c r="C51" s="70" t="inlineStr">
        <is>
          <t>SP0001</t>
        </is>
      </c>
      <c r="D51" s="71" t="inlineStr">
        <is>
          <t>White Oud</t>
        </is>
      </c>
      <c r="E51" s="70" t="n">
        <v>1</v>
      </c>
      <c r="F51" s="72">
        <f>SUM(I51:O51)</f>
        <v/>
      </c>
      <c r="G51" s="72">
        <f>SUM(J51:P51)</f>
        <v/>
      </c>
      <c r="H51" s="73">
        <f>IFERROR(IF(G51&gt;0,F51/G51,"-"),"-")</f>
        <v/>
      </c>
      <c r="I51" s="74" t="n"/>
      <c r="J51" s="74">
        <f>IFERROR(IF(I51&gt;0,H51/I51,"-"),"-")</f>
        <v/>
      </c>
      <c r="K51" s="75" t="n"/>
      <c r="L51" s="74" t="n"/>
      <c r="M51" s="74">
        <f>IFERROR(IF(L51&gt;0,K51/L51,"-"),"-")</f>
        <v/>
      </c>
      <c r="N51" s="75" t="n"/>
      <c r="O51" s="74" t="n"/>
      <c r="P51" s="74">
        <f>IFERROR(IF(O51&gt;0,N51/O51,"-"),"-")</f>
        <v/>
      </c>
      <c r="Q51" s="75" t="n"/>
      <c r="R51" s="60" t="n"/>
      <c r="S51" s="60" t="n"/>
    </row>
    <row r="52" ht="15" customHeight="1">
      <c r="A52" s="70" t="n">
        <v>40</v>
      </c>
      <c r="B52" s="71" t="inlineStr">
        <is>
          <t>Special Sets</t>
        </is>
      </c>
      <c r="C52" s="70" t="inlineStr">
        <is>
          <t>SP0005</t>
        </is>
      </c>
      <c r="D52" s="71" t="inlineStr">
        <is>
          <t>No.4</t>
        </is>
      </c>
      <c r="E52" s="70" t="n">
        <v>1</v>
      </c>
      <c r="F52" s="72">
        <f>SUM(I52:O52)</f>
        <v/>
      </c>
      <c r="G52" s="72">
        <f>SUM(J52:P52)</f>
        <v/>
      </c>
      <c r="H52" s="73">
        <f>IFERROR(IF(G52&gt;0,F52/G52,"-"),"-")</f>
        <v/>
      </c>
      <c r="I52" s="74" t="n">
        <v>8</v>
      </c>
      <c r="J52" s="74">
        <f>IFERROR(IF(I52&gt;0,H52/I52,"-"),"-")</f>
        <v/>
      </c>
      <c r="K52" s="75" t="n"/>
      <c r="L52" s="74" t="n"/>
      <c r="M52" s="74">
        <f>IFERROR(IF(L52&gt;0,K52/L52,"-"),"-")</f>
        <v/>
      </c>
      <c r="N52" s="75" t="n"/>
      <c r="O52" s="74" t="n"/>
      <c r="P52" s="74">
        <f>IFERROR(IF(O52&gt;0,N52/O52,"-"),"-")</f>
        <v/>
      </c>
      <c r="Q52" s="75" t="n"/>
      <c r="R52" s="60" t="n"/>
      <c r="S52" s="60" t="n"/>
    </row>
    <row r="53" ht="15" customHeight="1">
      <c r="A53" s="70" t="n">
        <v>41</v>
      </c>
      <c r="B53" s="71" t="inlineStr">
        <is>
          <t>Special Sets</t>
        </is>
      </c>
      <c r="C53" s="70" t="inlineStr">
        <is>
          <t>SP0007</t>
        </is>
      </c>
      <c r="D53" s="71" t="inlineStr">
        <is>
          <t>Reflection -T 100 ML</t>
        </is>
      </c>
      <c r="E53" s="70" t="n">
        <v>1</v>
      </c>
      <c r="F53" s="72">
        <f>SUM(I53:O53)</f>
        <v/>
      </c>
      <c r="G53" s="72">
        <f>SUM(J53:P53)</f>
        <v/>
      </c>
      <c r="H53" s="73">
        <f>IFERROR(IF(G53&gt;0,F53/G53,"-"),"-")</f>
        <v/>
      </c>
      <c r="I53" s="74" t="n">
        <v>1</v>
      </c>
      <c r="J53" s="74">
        <f>IFERROR(IF(I53&gt;0,H53/I53,"-"),"-")</f>
        <v/>
      </c>
      <c r="K53" s="75" t="n"/>
      <c r="L53" s="74" t="n"/>
      <c r="M53" s="74">
        <f>IFERROR(IF(L53&gt;0,K53/L53,"-"),"-")</f>
        <v/>
      </c>
      <c r="N53" s="75" t="n"/>
      <c r="O53" s="74" t="n"/>
      <c r="P53" s="74">
        <f>IFERROR(IF(O53&gt;0,N53/O53,"-"),"-")</f>
        <v/>
      </c>
      <c r="Q53" s="75" t="n"/>
      <c r="R53" s="60" t="n"/>
      <c r="S53" s="60" t="n"/>
    </row>
    <row r="54" ht="15" customHeight="1">
      <c r="A54" s="70" t="n">
        <v>42</v>
      </c>
      <c r="B54" s="71" t="inlineStr">
        <is>
          <t>Special Sets</t>
        </is>
      </c>
      <c r="C54" s="70" t="inlineStr">
        <is>
          <t>SP0017</t>
        </is>
      </c>
      <c r="D54" s="71" t="inlineStr">
        <is>
          <t>White Oud Oil 8ml</t>
        </is>
      </c>
      <c r="E54" s="70" t="n">
        <v>1</v>
      </c>
      <c r="F54" s="72">
        <f>SUM(I54:O54)</f>
        <v/>
      </c>
      <c r="G54" s="72">
        <f>SUM(J54:P54)</f>
        <v/>
      </c>
      <c r="H54" s="73">
        <f>IFERROR(IF(G54&gt;0,F54/G54,"-"),"-")</f>
        <v/>
      </c>
      <c r="I54" s="74" t="n"/>
      <c r="J54" s="74">
        <f>IFERROR(IF(I54&gt;0,H54/I54,"-"),"-")</f>
        <v/>
      </c>
      <c r="K54" s="75" t="n"/>
      <c r="L54" s="74" t="n"/>
      <c r="M54" s="74">
        <f>IFERROR(IF(L54&gt;0,K54/L54,"-"),"-")</f>
        <v/>
      </c>
      <c r="N54" s="75" t="n"/>
      <c r="O54" s="74" t="n"/>
      <c r="P54" s="74">
        <f>IFERROR(IF(O54&gt;0,N54/O54,"-"),"-")</f>
        <v/>
      </c>
      <c r="Q54" s="75" t="n"/>
      <c r="R54" s="60" t="n"/>
      <c r="S54" s="60" t="n"/>
    </row>
    <row r="55" ht="15" customHeight="1">
      <c r="A55" s="70" t="n">
        <v>43</v>
      </c>
      <c r="B55" s="71" t="inlineStr">
        <is>
          <t>Special Sets</t>
        </is>
      </c>
      <c r="C55" s="70" t="inlineStr">
        <is>
          <t>SP0018</t>
        </is>
      </c>
      <c r="D55" s="71" t="inlineStr">
        <is>
          <t>More Of Oud Oil 8ml</t>
        </is>
      </c>
      <c r="E55" s="70" t="n"/>
      <c r="F55" s="72">
        <f>SUM(I55:O55)</f>
        <v/>
      </c>
      <c r="G55" s="72">
        <f>SUM(J55:P55)</f>
        <v/>
      </c>
      <c r="H55" s="73">
        <f>IFERROR(IF(G55&gt;0,F55/G55,"-"),"-")</f>
        <v/>
      </c>
      <c r="I55" s="74" t="n">
        <v>1</v>
      </c>
      <c r="J55" s="74">
        <f>IFERROR(IF(I55&gt;0,H55/I55,"-"),"-")</f>
        <v/>
      </c>
      <c r="K55" s="75" t="n">
        <v>1</v>
      </c>
      <c r="L55" s="74" t="n">
        <v>1</v>
      </c>
      <c r="M55" s="74">
        <f>IFERROR(IF(L55&gt;0,K55/L55,"-"),"-")</f>
        <v/>
      </c>
      <c r="N55" s="75" t="n">
        <v>2</v>
      </c>
      <c r="O55" s="74" t="n">
        <v>6</v>
      </c>
      <c r="P55" s="74">
        <f>IFERROR(IF(O55&gt;0,N55/O55,"-"),"-")</f>
        <v/>
      </c>
      <c r="Q55" s="75" t="n">
        <v>1</v>
      </c>
      <c r="R55" s="60" t="n"/>
      <c r="S55" s="60" t="n"/>
    </row>
    <row r="56" ht="15" customHeight="1">
      <c r="A56" s="76" t="inlineStr">
        <is>
          <t xml:space="preserve">  OILS &amp; CPO</t>
        </is>
      </c>
      <c r="B56" s="77" t="n"/>
      <c r="C56" s="77" t="n"/>
      <c r="D56" s="77" t="n"/>
      <c r="E56" s="77" t="n"/>
      <c r="F56" s="72">
        <f>SUM(I56:O56)</f>
        <v/>
      </c>
      <c r="G56" s="72">
        <f>SUM(J56:P56)</f>
        <v/>
      </c>
      <c r="H56" s="73">
        <f>IFERROR(IF(G56&gt;0,F56/G56,"-"),"-")</f>
        <v/>
      </c>
      <c r="I56" s="74" t="n">
        <v>2</v>
      </c>
      <c r="J56" s="74">
        <f>IFERROR(IF(I56&gt;0,H56/I56,"-"),"-")</f>
        <v/>
      </c>
      <c r="K56" s="75" t="n"/>
      <c r="L56" s="74" t="n">
        <v>17</v>
      </c>
      <c r="M56" s="74">
        <f>IFERROR(IF(L56&gt;0,K56/L56,"-"),"-")</f>
        <v/>
      </c>
      <c r="N56" s="75" t="n">
        <v>1</v>
      </c>
      <c r="O56" s="74" t="n">
        <v>4</v>
      </c>
      <c r="P56" s="74">
        <f>IFERROR(IF(O56&gt;0,N56/O56,"-"),"-")</f>
        <v/>
      </c>
      <c r="Q56" s="75" t="n"/>
      <c r="R56" s="59" t="n"/>
      <c r="S56" s="59" t="n"/>
    </row>
    <row r="57" ht="15" customHeight="1">
      <c r="A57" s="70" t="n">
        <v>44</v>
      </c>
      <c r="B57" s="71" t="inlineStr">
        <is>
          <t>Oils &amp; CPO</t>
        </is>
      </c>
      <c r="C57" s="70" t="inlineStr">
        <is>
          <t>I00001</t>
        </is>
      </c>
      <c r="D57" s="71" t="inlineStr">
        <is>
          <t>Hindi Special</t>
        </is>
      </c>
      <c r="E57" s="70" t="n">
        <v>3</v>
      </c>
      <c r="F57" s="72">
        <f>SUM(I57:O57)</f>
        <v/>
      </c>
      <c r="G57" s="72">
        <f>SUM(J57:P57)</f>
        <v/>
      </c>
      <c r="H57" s="73">
        <f>IFERROR(IF(G57&gt;0,F57/G57,"-"),"-")</f>
        <v/>
      </c>
      <c r="I57" s="74" t="n">
        <v>8</v>
      </c>
      <c r="J57" s="74">
        <f>IFERROR(IF(I57&gt;0,H57/I57,"-"),"-")</f>
        <v/>
      </c>
      <c r="K57" s="75" t="n">
        <v>3</v>
      </c>
      <c r="L57" s="74" t="n">
        <v>4</v>
      </c>
      <c r="M57" s="74">
        <f>IFERROR(IF(L57&gt;0,K57/L57,"-"),"-")</f>
        <v/>
      </c>
      <c r="N57" s="75" t="n">
        <v>1</v>
      </c>
      <c r="O57" s="74" t="n">
        <v>14</v>
      </c>
      <c r="P57" s="74">
        <f>IFERROR(IF(O57&gt;0,N57/O57,"-"),"-")</f>
        <v/>
      </c>
      <c r="Q57" s="75" t="n">
        <v>2</v>
      </c>
      <c r="R57" s="60" t="n"/>
      <c r="S57" s="60" t="n"/>
    </row>
    <row r="58" ht="15" customHeight="1">
      <c r="A58" s="70" t="n">
        <v>45</v>
      </c>
      <c r="B58" s="71" t="inlineStr">
        <is>
          <t>Oils &amp; CPO</t>
        </is>
      </c>
      <c r="C58" s="70" t="inlineStr">
        <is>
          <t>I00003</t>
        </is>
      </c>
      <c r="D58" s="71" t="inlineStr">
        <is>
          <t>White Oil -8 ML</t>
        </is>
      </c>
      <c r="E58" s="70" t="n"/>
      <c r="F58" s="72">
        <f>SUM(I58:O58)</f>
        <v/>
      </c>
      <c r="G58" s="72">
        <f>SUM(J58:P58)</f>
        <v/>
      </c>
      <c r="H58" s="73">
        <f>IFERROR(IF(G58&gt;0,F58/G58,"-"),"-")</f>
        <v/>
      </c>
      <c r="I58" s="74" t="n"/>
      <c r="J58" s="74">
        <f>IFERROR(IF(I58&gt;0,H58/I58,"-"),"-")</f>
        <v/>
      </c>
      <c r="K58" s="75" t="n"/>
      <c r="L58" s="74" t="n"/>
      <c r="M58" s="74">
        <f>IFERROR(IF(L58&gt;0,K58/L58,"-"),"-")</f>
        <v/>
      </c>
      <c r="N58" s="75" t="n"/>
      <c r="O58" s="74" t="n"/>
      <c r="P58" s="74">
        <f>IFERROR(IF(O58&gt;0,N58/O58,"-"),"-")</f>
        <v/>
      </c>
      <c r="Q58" s="75" t="n"/>
      <c r="R58" s="60" t="n"/>
      <c r="S58" s="60" t="n"/>
    </row>
    <row r="59" ht="15" customHeight="1">
      <c r="A59" s="70" t="n">
        <v>46</v>
      </c>
      <c r="B59" s="71" t="inlineStr">
        <is>
          <t>Oils &amp; CPO</t>
        </is>
      </c>
      <c r="C59" s="70" t="inlineStr">
        <is>
          <t>I00004</t>
        </is>
      </c>
      <c r="D59" s="71" t="inlineStr">
        <is>
          <t>Maroon Oil - 8 ML</t>
        </is>
      </c>
      <c r="E59" s="70" t="n"/>
      <c r="F59" s="72">
        <f>SUM(I59:O59)</f>
        <v/>
      </c>
      <c r="G59" s="72">
        <f>SUM(J59:P59)</f>
        <v/>
      </c>
      <c r="H59" s="73">
        <f>IFERROR(IF(G59&gt;0,F59/G59,"-"),"-")</f>
        <v/>
      </c>
      <c r="I59" s="74" t="n">
        <v>11</v>
      </c>
      <c r="J59" s="74">
        <f>IFERROR(IF(I59&gt;0,H59/I59,"-"),"-")</f>
        <v/>
      </c>
      <c r="K59" s="75" t="n"/>
      <c r="L59" s="74" t="n"/>
      <c r="M59" s="74">
        <f>IFERROR(IF(L59&gt;0,K59/L59,"-"),"-")</f>
        <v/>
      </c>
      <c r="N59" s="75" t="n"/>
      <c r="O59" s="74" t="n">
        <v>17</v>
      </c>
      <c r="P59" s="74">
        <f>IFERROR(IF(O59&gt;0,N59/O59,"-"),"-")</f>
        <v/>
      </c>
      <c r="Q59" s="75" t="n"/>
      <c r="R59" s="60" t="n"/>
      <c r="S59" s="60" t="n"/>
    </row>
    <row r="60" ht="15" customHeight="1">
      <c r="A60" s="70" t="n">
        <v>47</v>
      </c>
      <c r="B60" s="71" t="inlineStr">
        <is>
          <t>Oils &amp; CPO</t>
        </is>
      </c>
      <c r="C60" s="70" t="inlineStr">
        <is>
          <t>I00005</t>
        </is>
      </c>
      <c r="D60" s="71" t="inlineStr">
        <is>
          <t>NO.4 Oil -8 ML</t>
        </is>
      </c>
      <c r="E60" s="70" t="n"/>
      <c r="F60" s="72">
        <f>SUM(I60:O60)</f>
        <v/>
      </c>
      <c r="G60" s="72">
        <f>SUM(J60:P60)</f>
        <v/>
      </c>
      <c r="H60" s="73">
        <f>IFERROR(IF(G60&gt;0,F60/G60,"-"),"-")</f>
        <v/>
      </c>
      <c r="I60" s="74" t="n"/>
      <c r="J60" s="74">
        <f>IFERROR(IF(I60&gt;0,H60/I60,"-"),"-")</f>
        <v/>
      </c>
      <c r="K60" s="75" t="n">
        <v>1</v>
      </c>
      <c r="L60" s="74" t="n"/>
      <c r="M60" s="74">
        <f>IFERROR(IF(L60&gt;0,K60/L60,"-"),"-")</f>
        <v/>
      </c>
      <c r="N60" s="75" t="n"/>
      <c r="O60" s="74" t="n"/>
      <c r="P60" s="74">
        <f>IFERROR(IF(O60&gt;0,N60/O60,"-"),"-")</f>
        <v/>
      </c>
      <c r="Q60" s="75" t="n"/>
      <c r="R60" s="60" t="n"/>
      <c r="S60" s="60" t="n"/>
    </row>
    <row r="61" ht="15" customHeight="1">
      <c r="A61" s="70" t="n">
        <v>48</v>
      </c>
      <c r="B61" s="71" t="inlineStr">
        <is>
          <t>Oils &amp; CPO</t>
        </is>
      </c>
      <c r="C61" s="70" t="inlineStr">
        <is>
          <t>I00011</t>
        </is>
      </c>
      <c r="D61" s="71" t="inlineStr">
        <is>
          <t>Midnight Oil 8ml</t>
        </is>
      </c>
      <c r="E61" s="70" t="n"/>
      <c r="F61" s="72">
        <f>SUM(I61:O61)</f>
        <v/>
      </c>
      <c r="G61" s="72">
        <f>SUM(J61:P61)</f>
        <v/>
      </c>
      <c r="H61" s="73">
        <f>IFERROR(IF(G61&gt;0,F61/G61,"-"),"-")</f>
        <v/>
      </c>
      <c r="I61" s="74" t="n">
        <v>2</v>
      </c>
      <c r="J61" s="74">
        <f>IFERROR(IF(I61&gt;0,H61/I61,"-"),"-")</f>
        <v/>
      </c>
      <c r="K61" s="75" t="n"/>
      <c r="L61" s="74" t="n">
        <v>2</v>
      </c>
      <c r="M61" s="74">
        <f>IFERROR(IF(L61&gt;0,K61/L61,"-"),"-")</f>
        <v/>
      </c>
      <c r="N61" s="75" t="n"/>
      <c r="O61" s="74" t="n">
        <v>9</v>
      </c>
      <c r="P61" s="74">
        <f>IFERROR(IF(O61&gt;0,N61/O61,"-"),"-")</f>
        <v/>
      </c>
      <c r="Q61" s="75" t="n"/>
      <c r="R61" s="60" t="n"/>
      <c r="S61" s="60" t="n"/>
    </row>
    <row r="62" ht="15" customHeight="1">
      <c r="A62" s="76" t="inlineStr">
        <is>
          <t xml:space="preserve">  ACCESSORIES</t>
        </is>
      </c>
      <c r="B62" s="77" t="n"/>
      <c r="C62" s="77" t="n"/>
      <c r="D62" s="77" t="n"/>
      <c r="E62" s="77" t="n">
        <v>2</v>
      </c>
      <c r="F62" s="72">
        <f>SUM(I62:O62)</f>
        <v/>
      </c>
      <c r="G62" s="72">
        <f>SUM(J62:P62)</f>
        <v/>
      </c>
      <c r="H62" s="73">
        <f>IFERROR(IF(G62&gt;0,F62/G62,"-"),"-")</f>
        <v/>
      </c>
      <c r="I62" s="74" t="n">
        <v>11</v>
      </c>
      <c r="J62" s="74">
        <f>IFERROR(IF(I62&gt;0,H62/I62,"-"),"-")</f>
        <v/>
      </c>
      <c r="K62" s="75" t="n">
        <v>3</v>
      </c>
      <c r="L62" s="74" t="n">
        <v>30</v>
      </c>
      <c r="M62" s="74">
        <f>IFERROR(IF(L62&gt;0,K62/L62,"-"),"-")</f>
        <v/>
      </c>
      <c r="N62" s="75" t="n">
        <v>10</v>
      </c>
      <c r="O62" s="74" t="n">
        <v>76</v>
      </c>
      <c r="P62" s="74">
        <f>IFERROR(IF(O62&gt;0,N62/O62,"-"),"-")</f>
        <v/>
      </c>
      <c r="Q62" s="75" t="n">
        <v>2</v>
      </c>
      <c r="R62" s="59" t="n"/>
      <c r="S62" s="59" t="n"/>
    </row>
    <row r="63" ht="15" customHeight="1">
      <c r="A63" s="70" t="n">
        <v>49</v>
      </c>
      <c r="B63" s="71" t="inlineStr">
        <is>
          <t>Accessories</t>
        </is>
      </c>
      <c r="C63" s="70" t="inlineStr">
        <is>
          <t>AC0001</t>
        </is>
      </c>
      <c r="D63" s="71" t="inlineStr">
        <is>
          <t>Medkhan Small</t>
        </is>
      </c>
      <c r="E63" s="70" t="n"/>
      <c r="F63" s="72">
        <f>SUM(I63:O63)</f>
        <v/>
      </c>
      <c r="G63" s="72">
        <f>SUM(J63:P63)</f>
        <v/>
      </c>
      <c r="H63" s="73">
        <f>IFERROR(IF(G63&gt;0,F63/G63,"-"),"-")</f>
        <v/>
      </c>
      <c r="I63" s="74" t="n"/>
      <c r="J63" s="74">
        <f>IFERROR(IF(I63&gt;0,H63/I63,"-"),"-")</f>
        <v/>
      </c>
      <c r="K63" s="75" t="n"/>
      <c r="L63" s="74" t="n"/>
      <c r="M63" s="74">
        <f>IFERROR(IF(L63&gt;0,K63/L63,"-"),"-")</f>
        <v/>
      </c>
      <c r="N63" s="75" t="n"/>
      <c r="O63" s="74" t="n"/>
      <c r="P63" s="74">
        <f>IFERROR(IF(O63&gt;0,N63/O63,"-"),"-")</f>
        <v/>
      </c>
      <c r="Q63" s="75" t="n"/>
      <c r="R63" s="60" t="n"/>
      <c r="S63" s="60" t="n"/>
    </row>
    <row r="64" ht="15" customHeight="1">
      <c r="A64" s="70" t="n">
        <v>50</v>
      </c>
      <c r="B64" s="71" t="inlineStr">
        <is>
          <t>Accessories</t>
        </is>
      </c>
      <c r="C64" s="70" t="inlineStr">
        <is>
          <t>AC0003</t>
        </is>
      </c>
      <c r="D64" s="71" t="inlineStr">
        <is>
          <t>Lighter</t>
        </is>
      </c>
      <c r="E64" s="70" t="n"/>
      <c r="F64" s="72">
        <f>SUM(I64:O64)</f>
        <v/>
      </c>
      <c r="G64" s="72">
        <f>SUM(J64:P64)</f>
        <v/>
      </c>
      <c r="H64" s="73">
        <f>IFERROR(IF(G64&gt;0,F64/G64,"-"),"-")</f>
        <v/>
      </c>
      <c r="I64" s="74" t="n"/>
      <c r="J64" s="74">
        <f>IFERROR(IF(I64&gt;0,H64/I64,"-"),"-")</f>
        <v/>
      </c>
      <c r="K64" s="75" t="n">
        <v>2</v>
      </c>
      <c r="L64" s="74" t="n"/>
      <c r="M64" s="74">
        <f>IFERROR(IF(L64&gt;0,K64/L64,"-"),"-")</f>
        <v/>
      </c>
      <c r="N64" s="75" t="n"/>
      <c r="O64" s="74" t="n"/>
      <c r="P64" s="74">
        <f>IFERROR(IF(O64&gt;0,N64/O64,"-"),"-")</f>
        <v/>
      </c>
      <c r="Q64" s="75" t="n"/>
      <c r="R64" s="60" t="n"/>
      <c r="S64" s="60" t="n"/>
    </row>
  </sheetData>
  <mergeCells count="5">
    <mergeCell ref="A1:AZ1"/>
    <mergeCell ref="O3"/>
    <mergeCell ref="I3"/>
    <mergeCell ref="L3"/>
    <mergeCell ref="A2:AZ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6B5B35"/>
    <outlinePr summaryBelow="1" summaryRight="1"/>
    <pageSetUpPr/>
  </sheetPr>
  <dimension ref="A1:AZ69"/>
  <sheetViews>
    <sheetView showGridLines="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2" customWidth="1" min="4" max="4"/>
    <col width="25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7.5" customWidth="1" min="45" max="45"/>
    <col width="9" customWidth="1" min="46" max="46"/>
  </cols>
  <sheetData>
    <row r="1" ht="25" customHeight="1">
      <c r="A1" s="55" t="inlineStr">
        <is>
          <t>EMIRATES PRIDE PERFUMES | TESTER CONSUMPTION | APR 2026 | HESSIN</t>
        </is>
      </c>
    </row>
    <row r="2" ht="14" customHeight="1">
      <c r="A2" s="56" t="inlineStr">
        <is>
          <t>T=Testers Dispatched (blue) | S=Sales Generated (green) | Contrib%=Contribution %</t>
        </is>
      </c>
    </row>
    <row r="3" ht="30" customHeight="1">
      <c r="A3" s="57" t="inlineStr">
        <is>
          <t>#</t>
        </is>
      </c>
      <c r="B3" s="57" t="inlineStr">
        <is>
          <t>Category</t>
        </is>
      </c>
      <c r="C3" s="57" t="inlineStr">
        <is>
          <t>Sub-Category</t>
        </is>
      </c>
      <c r="D3" s="57" t="inlineStr">
        <is>
          <t>SKU Code</t>
        </is>
      </c>
      <c r="E3" s="57" t="inlineStr">
        <is>
          <t>Product Name</t>
        </is>
      </c>
      <c r="F3" s="57" t="inlineStr">
        <is>
          <t>Grand Total
Testers</t>
        </is>
      </c>
      <c r="G3" s="57" t="inlineStr">
        <is>
          <t>Grand Total
Sales</t>
        </is>
      </c>
      <c r="H3" s="57" t="inlineStr">
        <is>
          <t>Grand Total
Contrib%</t>
        </is>
      </c>
      <c r="I3" s="58" t="inlineStr">
        <is>
          <t>Dalma Shop</t>
        </is>
      </c>
      <c r="J3" s="59" t="n"/>
      <c r="K3" s="60" t="n"/>
      <c r="L3" s="58" t="inlineStr">
        <is>
          <t>Dalma Kiosk</t>
        </is>
      </c>
      <c r="M3" s="59" t="n"/>
      <c r="N3" s="60" t="n"/>
      <c r="O3" s="58" t="inlineStr">
        <is>
          <t>Deerfield</t>
        </is>
      </c>
      <c r="P3" s="59" t="n"/>
      <c r="Q3" s="60" t="n"/>
      <c r="R3" s="58" t="inlineStr">
        <is>
          <t>Yas Kiosk 2</t>
        </is>
      </c>
      <c r="S3" s="59" t="n"/>
      <c r="T3" s="60" t="n"/>
      <c r="U3" s="58" t="inlineStr">
        <is>
          <t>Yas Kiosk 3</t>
        </is>
      </c>
      <c r="V3" s="59" t="n"/>
      <c r="W3" s="60" t="n"/>
      <c r="X3" s="58" t="inlineStr">
        <is>
          <t>Yas Podium</t>
        </is>
      </c>
      <c r="Y3" s="59" t="n"/>
      <c r="Z3" s="60" t="n"/>
      <c r="AA3" s="58" t="inlineStr">
        <is>
          <t>BAS Shop 2</t>
        </is>
      </c>
      <c r="AB3" s="59" t="n"/>
      <c r="AC3" s="60" t="n"/>
      <c r="AD3" s="58" t="inlineStr">
        <is>
          <t>Al Ain Mall</t>
        </is>
      </c>
      <c r="AE3" s="59" t="n"/>
      <c r="AF3" s="60" t="n"/>
      <c r="AG3" s="58" t="inlineStr">
        <is>
          <t>Bawadi K1</t>
        </is>
      </c>
      <c r="AH3" s="59" t="n"/>
      <c r="AI3" s="60" t="n"/>
      <c r="AJ3" s="58" t="inlineStr">
        <is>
          <t>Bawadi K2</t>
        </is>
      </c>
      <c r="AK3" s="59" t="n"/>
      <c r="AL3" s="60" t="n"/>
      <c r="AM3" s="58" t="inlineStr">
        <is>
          <t>Jimi Mall</t>
        </is>
      </c>
      <c r="AN3" s="59" t="n"/>
      <c r="AO3" s="60" t="n"/>
      <c r="AP3" s="58" t="inlineStr">
        <is>
          <t>Makani Shop</t>
        </is>
      </c>
      <c r="AQ3" s="59" t="n"/>
      <c r="AR3" s="60" t="n"/>
      <c r="AS3" s="59" t="n"/>
      <c r="AT3" s="59" t="n"/>
    </row>
    <row r="4" ht="44" customHeight="1">
      <c r="A4" s="61" t="n"/>
      <c r="B4" s="61" t="n"/>
      <c r="C4" s="61" t="n"/>
      <c r="D4" s="61" t="n"/>
      <c r="E4" s="61" t="n"/>
      <c r="F4" s="61" t="inlineStr">
        <is>
          <t>T</t>
        </is>
      </c>
      <c r="G4" s="61" t="inlineStr">
        <is>
          <t>S</t>
        </is>
      </c>
      <c r="H4" s="61" t="inlineStr">
        <is>
          <t>Contrib%</t>
        </is>
      </c>
      <c r="I4" s="62" t="inlineStr">
        <is>
          <t>T</t>
        </is>
      </c>
      <c r="J4" s="62" t="inlineStr">
        <is>
          <t>S</t>
        </is>
      </c>
      <c r="K4" s="62" t="inlineStr">
        <is>
          <t>Contrib%</t>
        </is>
      </c>
      <c r="L4" s="62" t="inlineStr">
        <is>
          <t>T</t>
        </is>
      </c>
      <c r="M4" s="62" t="inlineStr">
        <is>
          <t>S</t>
        </is>
      </c>
      <c r="N4" s="62" t="inlineStr">
        <is>
          <t>Contrib%</t>
        </is>
      </c>
      <c r="O4" s="62" t="inlineStr">
        <is>
          <t>T</t>
        </is>
      </c>
      <c r="P4" s="62" t="inlineStr">
        <is>
          <t>S</t>
        </is>
      </c>
      <c r="Q4" s="62" t="inlineStr">
        <is>
          <t>Contrib%</t>
        </is>
      </c>
      <c r="R4" s="62" t="inlineStr">
        <is>
          <t>T</t>
        </is>
      </c>
      <c r="S4" s="62" t="inlineStr">
        <is>
          <t>S</t>
        </is>
      </c>
      <c r="T4" s="62" t="inlineStr">
        <is>
          <t>Contrib%</t>
        </is>
      </c>
      <c r="U4" s="62" t="inlineStr">
        <is>
          <t>T</t>
        </is>
      </c>
      <c r="V4" s="62" t="inlineStr">
        <is>
          <t>S</t>
        </is>
      </c>
      <c r="W4" s="62" t="inlineStr">
        <is>
          <t>Contrib%</t>
        </is>
      </c>
      <c r="X4" s="62" t="inlineStr">
        <is>
          <t>T</t>
        </is>
      </c>
      <c r="Y4" s="62" t="inlineStr">
        <is>
          <t>S</t>
        </is>
      </c>
      <c r="Z4" s="62" t="inlineStr">
        <is>
          <t>Contrib%</t>
        </is>
      </c>
      <c r="AA4" s="62" t="inlineStr">
        <is>
          <t>T</t>
        </is>
      </c>
      <c r="AB4" s="62" t="inlineStr">
        <is>
          <t>S</t>
        </is>
      </c>
      <c r="AC4" s="62" t="inlineStr">
        <is>
          <t>Contrib%</t>
        </is>
      </c>
      <c r="AD4" s="62" t="inlineStr">
        <is>
          <t>T</t>
        </is>
      </c>
      <c r="AE4" s="62" t="inlineStr">
        <is>
          <t>S</t>
        </is>
      </c>
      <c r="AF4" s="62" t="inlineStr">
        <is>
          <t>Contrib%</t>
        </is>
      </c>
      <c r="AG4" s="62" t="inlineStr">
        <is>
          <t>T</t>
        </is>
      </c>
      <c r="AH4" s="62" t="inlineStr">
        <is>
          <t>S</t>
        </is>
      </c>
      <c r="AI4" s="62" t="inlineStr">
        <is>
          <t>Contrib%</t>
        </is>
      </c>
      <c r="AJ4" s="62" t="inlineStr">
        <is>
          <t>T</t>
        </is>
      </c>
      <c r="AK4" s="62" t="inlineStr">
        <is>
          <t>S</t>
        </is>
      </c>
      <c r="AL4" s="62" t="inlineStr">
        <is>
          <t>Contrib%</t>
        </is>
      </c>
      <c r="AM4" s="62" t="inlineStr">
        <is>
          <t>T</t>
        </is>
      </c>
      <c r="AN4" s="62" t="inlineStr">
        <is>
          <t>S</t>
        </is>
      </c>
      <c r="AO4" s="62" t="inlineStr">
        <is>
          <t>Contrib%</t>
        </is>
      </c>
      <c r="AP4" s="62" t="inlineStr">
        <is>
          <t>T</t>
        </is>
      </c>
      <c r="AQ4" s="62" t="inlineStr">
        <is>
          <t>S</t>
        </is>
      </c>
      <c r="AR4" s="62" t="inlineStr">
        <is>
          <t>Contrib%</t>
        </is>
      </c>
      <c r="AS4" s="60" t="n"/>
      <c r="AT4" s="60" t="n"/>
    </row>
    <row r="5" ht="20" customHeight="1">
      <c r="A5" s="63" t="inlineStr">
        <is>
          <t>GRAND TOTAL</t>
        </is>
      </c>
      <c r="B5" s="59" t="n"/>
      <c r="C5" s="59" t="n"/>
      <c r="D5" s="59" t="n"/>
      <c r="E5" s="60" t="n"/>
      <c r="F5" s="64">
        <f>SUM(F12:F64)</f>
        <v/>
      </c>
      <c r="G5" s="64">
        <f>SUM(G12:G64)</f>
        <v/>
      </c>
      <c r="H5" s="65">
        <f>IFERROR(IF(G5&gt;0,F5/G5,"-"),"-")</f>
        <v/>
      </c>
      <c r="I5" s="66">
        <f>SUM(I12:I64)</f>
        <v/>
      </c>
      <c r="J5" s="66">
        <f>SUM(J12:J64)</f>
        <v/>
      </c>
      <c r="K5" s="67">
        <f>IFERROR(IF(J5&gt;0,I5/J5,"-"),"-")</f>
        <v/>
      </c>
      <c r="L5" s="66">
        <f>SUM(L12:L64)</f>
        <v/>
      </c>
      <c r="M5" s="66">
        <f>SUM(M12:M64)</f>
        <v/>
      </c>
      <c r="N5" s="67">
        <f>IFERROR(IF(M5&gt;0,L5/M5,"-"),"-")</f>
        <v/>
      </c>
      <c r="O5" s="66">
        <f>SUM(O12:O64)</f>
        <v/>
      </c>
      <c r="P5" s="66">
        <f>SUM(P12:P64)</f>
        <v/>
      </c>
      <c r="Q5" s="67">
        <f>IFERROR(IF(P5&gt;0,O5/P5,"-"),"-")</f>
        <v/>
      </c>
      <c r="R5" s="66">
        <f>SUM(R12:R64)</f>
        <v/>
      </c>
      <c r="S5" s="66">
        <f>SUM(S12:S64)</f>
        <v/>
      </c>
      <c r="T5" s="67">
        <f>IFERROR(IF(S5&gt;0,R5/S5,"-"),"-")</f>
        <v/>
      </c>
      <c r="U5" s="66">
        <f>SUM(U12:U64)</f>
        <v/>
      </c>
      <c r="V5" s="66">
        <f>SUM(V12:V64)</f>
        <v/>
      </c>
      <c r="W5" s="67">
        <f>IFERROR(IF(V5&gt;0,U5/V5,"-"),"-")</f>
        <v/>
      </c>
      <c r="X5" s="66">
        <f>SUM(X12:X64)</f>
        <v/>
      </c>
      <c r="Y5" s="66">
        <f>SUM(Y12:Y64)</f>
        <v/>
      </c>
      <c r="Z5" s="67">
        <f>IFERROR(IF(Y5&gt;0,X5/Y5,"-"),"-")</f>
        <v/>
      </c>
      <c r="AA5" s="66">
        <f>SUM(AA12:AA64)</f>
        <v/>
      </c>
      <c r="AB5" s="66">
        <f>SUM(AB12:AB64)</f>
        <v/>
      </c>
      <c r="AC5" s="67">
        <f>IFERROR(IF(AB5&gt;0,AA5/AB5,"-"),"-")</f>
        <v/>
      </c>
      <c r="AD5" s="66">
        <f>SUM(AD12:AD64)</f>
        <v/>
      </c>
      <c r="AE5" s="66">
        <f>SUM(AE12:AE64)</f>
        <v/>
      </c>
      <c r="AF5" s="67">
        <f>IFERROR(IF(AE5&gt;0,AD5/AE5,"-"),"-")</f>
        <v/>
      </c>
      <c r="AG5" s="66">
        <f>SUM(AG12:AG64)</f>
        <v/>
      </c>
      <c r="AH5" s="66">
        <f>SUM(AH12:AH64)</f>
        <v/>
      </c>
      <c r="AI5" s="67">
        <f>IFERROR(IF(AH5&gt;0,AG5/AH5,"-"),"-")</f>
        <v/>
      </c>
      <c r="AJ5" s="66">
        <f>SUM(AJ12:AJ64)</f>
        <v/>
      </c>
      <c r="AK5" s="66">
        <f>SUM(AK12:AK64)</f>
        <v/>
      </c>
      <c r="AL5" s="67">
        <f>IFERROR(IF(AK5&gt;0,AJ5/AK5,"-"),"-")</f>
        <v/>
      </c>
      <c r="AM5" s="66">
        <f>SUM(AM12:AM64)</f>
        <v/>
      </c>
      <c r="AN5" s="66">
        <f>SUM(AN12:AN64)</f>
        <v/>
      </c>
      <c r="AO5" s="67">
        <f>IFERROR(IF(AN5&gt;0,AM5/AN5,"-"),"-")</f>
        <v/>
      </c>
      <c r="AP5" s="66">
        <f>SUM(AP12:AP64)</f>
        <v/>
      </c>
      <c r="AQ5" s="66">
        <f>SUM(AQ12:AQ64)</f>
        <v/>
      </c>
      <c r="AR5" s="67">
        <f>IFERROR(IF(AQ5&gt;0,AP5/AQ5,"-"),"-")</f>
        <v/>
      </c>
      <c r="AS5" s="60" t="n"/>
      <c r="AT5" s="60" t="n"/>
    </row>
    <row r="6" ht="15" customHeight="1">
      <c r="A6" s="68" t="n"/>
      <c r="B6" s="59" t="n"/>
      <c r="C6" s="59" t="n"/>
      <c r="D6" s="59" t="n"/>
      <c r="E6" s="59" t="n"/>
      <c r="F6" s="59" t="n"/>
      <c r="G6" s="59" t="n"/>
      <c r="H6" s="59" t="n"/>
      <c r="I6" s="59" t="n"/>
      <c r="J6" s="59" t="n"/>
      <c r="K6" s="59" t="n"/>
      <c r="L6" s="59" t="n"/>
      <c r="M6" s="59" t="n"/>
      <c r="N6" s="59" t="n"/>
      <c r="O6" s="59" t="n"/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  <c r="Z6" s="59" t="n"/>
      <c r="AA6" s="59" t="n"/>
      <c r="AB6" s="59" t="n"/>
      <c r="AC6" s="59" t="n"/>
      <c r="AD6" s="59" t="n"/>
      <c r="AE6" s="59" t="n"/>
      <c r="AF6" s="59" t="n"/>
      <c r="AG6" s="59" t="n"/>
      <c r="AH6" s="59" t="n"/>
      <c r="AI6" s="59" t="n"/>
      <c r="AJ6" s="59" t="n"/>
      <c r="AK6" s="59" t="n"/>
      <c r="AL6" s="59" t="n"/>
      <c r="AM6" s="59" t="n"/>
      <c r="AN6" s="59" t="n"/>
      <c r="AO6" s="59" t="n"/>
      <c r="AP6" s="59" t="n"/>
      <c r="AQ6" s="59" t="n"/>
      <c r="AR6" s="59" t="n"/>
      <c r="AS6" s="59" t="n"/>
      <c r="AT6" s="59" t="n"/>
    </row>
    <row r="7" ht="15" customHeight="1">
      <c r="A7" s="60" t="n"/>
      <c r="B7" s="69" t="n"/>
      <c r="C7" s="60" t="n"/>
      <c r="D7" s="69" t="n"/>
      <c r="E7" s="60" t="n"/>
      <c r="F7" s="60" t="n"/>
      <c r="G7" s="60" t="n"/>
      <c r="H7" s="60" t="n"/>
      <c r="I7" s="60" t="n"/>
      <c r="J7" s="60" t="n"/>
      <c r="K7" s="60" t="n"/>
      <c r="L7" s="60" t="n"/>
      <c r="M7" s="60" t="n"/>
      <c r="N7" s="60" t="n"/>
      <c r="O7" s="60" t="n"/>
      <c r="P7" s="60" t="n"/>
      <c r="Q7" s="60" t="n"/>
      <c r="R7" s="60" t="n"/>
      <c r="S7" s="60" t="n"/>
      <c r="T7" s="60" t="n"/>
      <c r="U7" s="60" t="n"/>
      <c r="V7" s="60" t="n"/>
      <c r="W7" s="60" t="n"/>
      <c r="X7" s="60" t="n"/>
      <c r="Y7" s="60" t="n"/>
      <c r="Z7" s="60" t="n"/>
      <c r="AA7" s="60" t="n"/>
      <c r="AB7" s="60" t="n"/>
      <c r="AC7" s="60" t="n"/>
      <c r="AD7" s="60" t="n"/>
      <c r="AE7" s="60" t="n"/>
      <c r="AF7" s="60" t="n"/>
      <c r="AG7" s="60" t="n"/>
      <c r="AH7" s="60" t="n"/>
      <c r="AI7" s="60" t="n"/>
      <c r="AJ7" s="60" t="n"/>
      <c r="AK7" s="60" t="n"/>
      <c r="AL7" s="60" t="n"/>
      <c r="AM7" s="60" t="n"/>
      <c r="AN7" s="60" t="n"/>
      <c r="AO7" s="60" t="n"/>
      <c r="AP7" s="60" t="n"/>
      <c r="AQ7" s="60" t="n"/>
      <c r="AR7" s="60" t="n"/>
      <c r="AS7" s="60" t="n"/>
      <c r="AT7" s="60" t="n"/>
    </row>
    <row r="8" ht="15" customHeight="1">
      <c r="A8" s="60" t="n"/>
      <c r="B8" s="69" t="n"/>
      <c r="C8" s="60" t="n"/>
      <c r="D8" s="69" t="n"/>
      <c r="E8" s="60" t="n"/>
      <c r="F8" s="60" t="n"/>
      <c r="G8" s="60" t="n"/>
      <c r="H8" s="60" t="n"/>
      <c r="I8" s="60" t="n"/>
      <c r="J8" s="60" t="n"/>
      <c r="K8" s="60" t="n"/>
      <c r="L8" s="60" t="n"/>
      <c r="M8" s="60" t="n"/>
      <c r="N8" s="60" t="n"/>
      <c r="O8" s="60" t="n"/>
      <c r="P8" s="60" t="n"/>
      <c r="Q8" s="60" t="n"/>
      <c r="R8" s="60" t="n"/>
      <c r="S8" s="60" t="n"/>
      <c r="T8" s="60" t="n"/>
      <c r="U8" s="60" t="n"/>
      <c r="V8" s="60" t="n"/>
      <c r="W8" s="60" t="n"/>
      <c r="X8" s="60" t="n"/>
      <c r="Y8" s="60" t="n"/>
      <c r="Z8" s="60" t="n"/>
      <c r="AA8" s="60" t="n"/>
      <c r="AB8" s="60" t="n"/>
      <c r="AC8" s="60" t="n"/>
      <c r="AD8" s="60" t="n"/>
      <c r="AE8" s="60" t="n"/>
      <c r="AF8" s="60" t="n"/>
      <c r="AG8" s="60" t="n"/>
      <c r="AH8" s="60" t="n"/>
      <c r="AI8" s="60" t="n"/>
      <c r="AJ8" s="60" t="n"/>
      <c r="AK8" s="60" t="n"/>
      <c r="AL8" s="60" t="n"/>
      <c r="AM8" s="60" t="n"/>
      <c r="AN8" s="60" t="n"/>
      <c r="AO8" s="60" t="n"/>
      <c r="AP8" s="60" t="n"/>
      <c r="AQ8" s="60" t="n"/>
      <c r="AR8" s="60" t="n"/>
      <c r="AS8" s="60" t="n"/>
      <c r="AT8" s="60" t="n"/>
    </row>
    <row r="9" ht="15" customHeight="1">
      <c r="A9" s="60" t="n"/>
      <c r="B9" s="69" t="n"/>
      <c r="C9" s="60" t="n"/>
      <c r="D9" s="69" t="n"/>
      <c r="E9" s="60" t="n"/>
      <c r="F9" s="60" t="n"/>
      <c r="G9" s="60" t="n"/>
      <c r="H9" s="60" t="n"/>
      <c r="I9" s="60" t="n"/>
      <c r="J9" s="60" t="n"/>
      <c r="K9" s="60" t="n"/>
      <c r="L9" s="60" t="n"/>
      <c r="M9" s="60" t="n"/>
      <c r="N9" s="60" t="n"/>
      <c r="O9" s="60" t="n"/>
      <c r="P9" s="60" t="n"/>
      <c r="Q9" s="60" t="n"/>
      <c r="R9" s="60" t="n"/>
      <c r="S9" s="60" t="n"/>
      <c r="T9" s="60" t="n"/>
      <c r="U9" s="60" t="n"/>
      <c r="V9" s="60" t="n"/>
      <c r="W9" s="60" t="n"/>
      <c r="X9" s="60" t="n"/>
      <c r="Y9" s="60" t="n"/>
      <c r="Z9" s="60" t="n"/>
      <c r="AA9" s="60" t="n"/>
      <c r="AB9" s="60" t="n"/>
      <c r="AC9" s="60" t="n"/>
      <c r="AD9" s="60" t="n"/>
      <c r="AE9" s="60" t="n"/>
      <c r="AF9" s="60" t="n"/>
      <c r="AG9" s="60" t="n"/>
      <c r="AH9" s="60" t="n"/>
      <c r="AI9" s="60" t="n"/>
      <c r="AJ9" s="60" t="n"/>
      <c r="AK9" s="60" t="n"/>
      <c r="AL9" s="60" t="n"/>
      <c r="AM9" s="60" t="n"/>
      <c r="AN9" s="60" t="n"/>
      <c r="AO9" s="60" t="n"/>
      <c r="AP9" s="60" t="n"/>
      <c r="AQ9" s="60" t="n"/>
      <c r="AR9" s="60" t="n"/>
      <c r="AS9" s="60" t="n"/>
      <c r="AT9" s="60" t="n"/>
    </row>
    <row r="10" ht="15" customHeight="1">
      <c r="A10" s="60" t="n"/>
      <c r="B10" s="69" t="n"/>
      <c r="C10" s="60" t="n"/>
      <c r="D10" s="69" t="n"/>
      <c r="E10" s="60" t="n"/>
      <c r="F10" s="60" t="n"/>
      <c r="G10" s="60" t="n"/>
      <c r="H10" s="60" t="n"/>
      <c r="I10" s="60" t="n"/>
      <c r="J10" s="60" t="n"/>
      <c r="K10" s="60" t="n"/>
      <c r="L10" s="60" t="n"/>
      <c r="M10" s="60" t="n"/>
      <c r="N10" s="60" t="n"/>
      <c r="O10" s="60" t="n"/>
      <c r="P10" s="60" t="n"/>
      <c r="Q10" s="60" t="n"/>
      <c r="R10" s="60" t="n"/>
      <c r="S10" s="60" t="n"/>
      <c r="T10" s="60" t="n"/>
      <c r="U10" s="60" t="n"/>
      <c r="V10" s="60" t="n"/>
      <c r="W10" s="60" t="n"/>
      <c r="X10" s="60" t="n"/>
      <c r="Y10" s="60" t="n"/>
      <c r="Z10" s="60" t="n"/>
      <c r="AA10" s="60" t="n"/>
      <c r="AB10" s="60" t="n"/>
      <c r="AC10" s="60" t="n"/>
      <c r="AD10" s="60" t="n"/>
      <c r="AE10" s="60" t="n"/>
      <c r="AF10" s="60" t="n"/>
      <c r="AG10" s="60" t="n"/>
      <c r="AH10" s="60" t="n"/>
      <c r="AI10" s="60" t="n"/>
      <c r="AJ10" s="60" t="n"/>
      <c r="AK10" s="60" t="n"/>
      <c r="AL10" s="60" t="n"/>
      <c r="AM10" s="60" t="n"/>
      <c r="AN10" s="60" t="n"/>
      <c r="AO10" s="60" t="n"/>
      <c r="AP10" s="60" t="n"/>
      <c r="AQ10" s="60" t="n"/>
      <c r="AR10" s="60" t="n"/>
      <c r="AS10" s="60" t="n"/>
      <c r="AT10" s="60" t="n"/>
    </row>
    <row r="11" ht="15" customHeight="1">
      <c r="A11" s="68" t="n"/>
      <c r="B11" s="59" t="n"/>
      <c r="C11" s="59" t="n"/>
      <c r="D11" s="59" t="n"/>
      <c r="E11" s="59" t="n"/>
      <c r="F11" s="59" t="n"/>
      <c r="G11" s="59" t="n"/>
      <c r="H11" s="59" t="n"/>
      <c r="I11" s="59" t="n"/>
      <c r="J11" s="59" t="n"/>
      <c r="K11" s="59" t="n"/>
      <c r="L11" s="59" t="n"/>
      <c r="M11" s="59" t="n"/>
      <c r="N11" s="59" t="n"/>
      <c r="O11" s="59" t="n"/>
      <c r="P11" s="59" t="n"/>
      <c r="Q11" s="59" t="n"/>
      <c r="R11" s="59" t="n"/>
      <c r="S11" s="59" t="n"/>
      <c r="T11" s="59" t="n"/>
      <c r="U11" s="59" t="n"/>
      <c r="V11" s="59" t="n"/>
      <c r="W11" s="59" t="n"/>
      <c r="X11" s="59" t="n"/>
      <c r="Y11" s="59" t="n"/>
      <c r="Z11" s="59" t="n"/>
      <c r="AA11" s="59" t="n"/>
      <c r="AB11" s="59" t="n"/>
      <c r="AC11" s="59" t="n"/>
      <c r="AD11" s="59" t="n"/>
      <c r="AE11" s="59" t="n"/>
      <c r="AF11" s="59" t="n"/>
      <c r="AG11" s="59" t="n"/>
      <c r="AH11" s="59" t="n"/>
      <c r="AI11" s="59" t="n"/>
      <c r="AJ11" s="59" t="n"/>
      <c r="AK11" s="59" t="n"/>
      <c r="AL11" s="59" t="n"/>
      <c r="AM11" s="59" t="n"/>
      <c r="AN11" s="59" t="n"/>
      <c r="AO11" s="59" t="n"/>
      <c r="AP11" s="59" t="n"/>
      <c r="AQ11" s="59" t="n"/>
      <c r="AR11" s="59" t="n"/>
      <c r="AS11" s="59" t="n"/>
      <c r="AT11" s="59" t="n"/>
    </row>
    <row r="12" ht="15" customHeight="1">
      <c r="A12" s="70" t="n">
        <v>5</v>
      </c>
      <c r="B12" s="71" t="inlineStr">
        <is>
          <t>Bel Collections</t>
        </is>
      </c>
      <c r="C12" s="70" t="inlineStr">
        <is>
          <t>B00001</t>
        </is>
      </c>
      <c r="D12" s="71" t="inlineStr">
        <is>
          <t>Bergamot bel Amber</t>
        </is>
      </c>
      <c r="E12" s="70" t="n">
        <v>2</v>
      </c>
      <c r="F12" s="72">
        <f>SUM(I12:AP12)</f>
        <v/>
      </c>
      <c r="G12" s="72">
        <f>SUM(J12:AQ12)</f>
        <v/>
      </c>
      <c r="H12" s="73">
        <f>IFERROR(IF(G12&gt;0,F12/G12,"-"),"-")</f>
        <v/>
      </c>
      <c r="I12" s="74" t="n">
        <v>1</v>
      </c>
      <c r="J12" s="74">
        <f>IFERROR(IF(I12&gt;0,H12/I12,"-"),"-")</f>
        <v/>
      </c>
      <c r="K12" s="75" t="n">
        <v>1</v>
      </c>
      <c r="L12" s="74" t="n">
        <v>7</v>
      </c>
      <c r="M12" s="74">
        <f>IFERROR(IF(L12&gt;0,K12/L12,"-"),"-")</f>
        <v/>
      </c>
      <c r="N12" s="75" t="n">
        <v>1</v>
      </c>
      <c r="O12" s="74" t="n">
        <v>2</v>
      </c>
      <c r="P12" s="74">
        <f>IFERROR(IF(O12&gt;0,N12/O12,"-"),"-")</f>
        <v/>
      </c>
      <c r="Q12" s="75" t="n"/>
      <c r="R12" s="74" t="n"/>
      <c r="S12" s="74">
        <f>IFERROR(IF(R12&gt;0,Q12/R12,"-"),"-")</f>
        <v/>
      </c>
      <c r="T12" s="75" t="n"/>
      <c r="U12" s="74" t="n">
        <v>3</v>
      </c>
      <c r="V12" s="74">
        <f>IFERROR(IF(U12&gt;0,T12/U12,"-"),"-")</f>
        <v/>
      </c>
      <c r="W12" s="75" t="n">
        <v>1</v>
      </c>
      <c r="X12" s="74" t="n">
        <v>10</v>
      </c>
      <c r="Y12" s="74">
        <f>IFERROR(IF(X12&gt;0,W12/X12,"-"),"-")</f>
        <v/>
      </c>
      <c r="Z12" s="75" t="n">
        <v>1</v>
      </c>
      <c r="AA12" s="74" t="n">
        <v>8</v>
      </c>
      <c r="AB12" s="74">
        <f>IFERROR(IF(AA12&gt;0,Z12/AA12,"-"),"-")</f>
        <v/>
      </c>
      <c r="AC12" s="75" t="n">
        <v>3</v>
      </c>
      <c r="AD12" s="74" t="n">
        <v>10</v>
      </c>
      <c r="AE12" s="74">
        <f>IFERROR(IF(AD12&gt;0,AC12/AD12,"-"),"-")</f>
        <v/>
      </c>
      <c r="AF12" s="75" t="n"/>
      <c r="AG12" s="74" t="n"/>
      <c r="AH12" s="74">
        <f>IFERROR(IF(AG12&gt;0,AF12/AG12,"-"),"-")</f>
        <v/>
      </c>
      <c r="AI12" s="75" t="n">
        <v>2</v>
      </c>
      <c r="AJ12" s="74" t="n">
        <v>5</v>
      </c>
      <c r="AK12" s="74">
        <f>IFERROR(IF(AJ12&gt;0,AI12/AJ12,"-"),"-")</f>
        <v/>
      </c>
      <c r="AL12" s="75" t="n">
        <v>1</v>
      </c>
      <c r="AM12" s="74" t="n">
        <v>2</v>
      </c>
      <c r="AN12" s="74">
        <f>IFERROR(IF(AM12&gt;0,AL12/AM12,"-"),"-")</f>
        <v/>
      </c>
      <c r="AO12" s="75" t="n"/>
      <c r="AP12" s="74" t="n">
        <v>1</v>
      </c>
      <c r="AQ12" s="74">
        <f>IFERROR(IF(AP12&gt;0,AO12/AP12,"-"),"-")</f>
        <v/>
      </c>
      <c r="AR12" s="75" t="n">
        <v>2</v>
      </c>
      <c r="AS12" s="60" t="n"/>
      <c r="AT12" s="60" t="n"/>
    </row>
    <row r="13" ht="15" customHeight="1">
      <c r="A13" s="70" t="n">
        <v>6</v>
      </c>
      <c r="B13" s="71" t="inlineStr">
        <is>
          <t>Bel Collections</t>
        </is>
      </c>
      <c r="C13" s="70" t="inlineStr">
        <is>
          <t>B00002</t>
        </is>
      </c>
      <c r="D13" s="71" t="inlineStr">
        <is>
          <t>Jasmin bel Musk</t>
        </is>
      </c>
      <c r="E13" s="70" t="n">
        <v>3</v>
      </c>
      <c r="F13" s="72">
        <f>SUM(I13:AP13)</f>
        <v/>
      </c>
      <c r="G13" s="72">
        <f>SUM(J13:AQ13)</f>
        <v/>
      </c>
      <c r="H13" s="73">
        <f>IFERROR(IF(G13&gt;0,F13/G13,"-"),"-")</f>
        <v/>
      </c>
      <c r="I13" s="74" t="n">
        <v>3</v>
      </c>
      <c r="J13" s="74">
        <f>IFERROR(IF(I13&gt;0,H13/I13,"-"),"-")</f>
        <v/>
      </c>
      <c r="K13" s="75" t="n">
        <v>2</v>
      </c>
      <c r="L13" s="74" t="n">
        <v>8</v>
      </c>
      <c r="M13" s="74">
        <f>IFERROR(IF(L13&gt;0,K13/L13,"-"),"-")</f>
        <v/>
      </c>
      <c r="N13" s="75" t="n">
        <v>2</v>
      </c>
      <c r="O13" s="74" t="n">
        <v>2</v>
      </c>
      <c r="P13" s="74">
        <f>IFERROR(IF(O13&gt;0,N13/O13,"-"),"-")</f>
        <v/>
      </c>
      <c r="Q13" s="75" t="n"/>
      <c r="R13" s="74" t="n">
        <v>11</v>
      </c>
      <c r="S13" s="74">
        <f>IFERROR(IF(R13&gt;0,Q13/R13,"-"),"-")</f>
        <v/>
      </c>
      <c r="T13" s="75" t="n">
        <v>1</v>
      </c>
      <c r="U13" s="74" t="n">
        <v>4</v>
      </c>
      <c r="V13" s="74">
        <f>IFERROR(IF(U13&gt;0,T13/U13,"-"),"-")</f>
        <v/>
      </c>
      <c r="W13" s="75" t="n">
        <v>3</v>
      </c>
      <c r="X13" s="74" t="n">
        <v>11</v>
      </c>
      <c r="Y13" s="74">
        <f>IFERROR(IF(X13&gt;0,W13/X13,"-"),"-")</f>
        <v/>
      </c>
      <c r="Z13" s="75" t="n">
        <v>4</v>
      </c>
      <c r="AA13" s="74" t="n">
        <v>15</v>
      </c>
      <c r="AB13" s="74">
        <f>IFERROR(IF(AA13&gt;0,Z13/AA13,"-"),"-")</f>
        <v/>
      </c>
      <c r="AC13" s="75" t="n">
        <v>2</v>
      </c>
      <c r="AD13" s="74" t="n">
        <v>10</v>
      </c>
      <c r="AE13" s="74">
        <f>IFERROR(IF(AD13&gt;0,AC13/AD13,"-"),"-")</f>
        <v/>
      </c>
      <c r="AF13" s="75" t="n"/>
      <c r="AG13" s="74" t="n"/>
      <c r="AH13" s="74">
        <f>IFERROR(IF(AG13&gt;0,AF13/AG13,"-"),"-")</f>
        <v/>
      </c>
      <c r="AI13" s="75" t="n">
        <v>2</v>
      </c>
      <c r="AJ13" s="74" t="n">
        <v>2</v>
      </c>
      <c r="AK13" s="74">
        <f>IFERROR(IF(AJ13&gt;0,AI13/AJ13,"-"),"-")</f>
        <v/>
      </c>
      <c r="AL13" s="75" t="n"/>
      <c r="AM13" s="74" t="n">
        <v>5</v>
      </c>
      <c r="AN13" s="74">
        <f>IFERROR(IF(AM13&gt;0,AL13/AM13,"-"),"-")</f>
        <v/>
      </c>
      <c r="AO13" s="75" t="n"/>
      <c r="AP13" s="74" t="n">
        <v>1</v>
      </c>
      <c r="AQ13" s="74">
        <f>IFERROR(IF(AP13&gt;0,AO13/AP13,"-"),"-")</f>
        <v/>
      </c>
      <c r="AR13" s="75" t="n">
        <v>1</v>
      </c>
      <c r="AS13" s="60" t="n"/>
      <c r="AT13" s="60" t="n"/>
    </row>
    <row r="14" ht="15" customHeight="1">
      <c r="A14" s="70" t="n">
        <v>7</v>
      </c>
      <c r="B14" s="71" t="inlineStr">
        <is>
          <t>Bel Collections</t>
        </is>
      </c>
      <c r="C14" s="70" t="inlineStr">
        <is>
          <t>B00003</t>
        </is>
      </c>
      <c r="D14" s="71" t="inlineStr">
        <is>
          <t>Amber Bel oud</t>
        </is>
      </c>
      <c r="E14" s="70" t="n">
        <v>2</v>
      </c>
      <c r="F14" s="72">
        <f>SUM(I14:AP14)</f>
        <v/>
      </c>
      <c r="G14" s="72">
        <f>SUM(J14:AQ14)</f>
        <v/>
      </c>
      <c r="H14" s="73">
        <f>IFERROR(IF(G14&gt;0,F14/G14,"-"),"-")</f>
        <v/>
      </c>
      <c r="I14" s="74" t="n">
        <v>1</v>
      </c>
      <c r="J14" s="74">
        <f>IFERROR(IF(I14&gt;0,H14/I14,"-"),"-")</f>
        <v/>
      </c>
      <c r="K14" s="75" t="n"/>
      <c r="L14" s="74" t="n"/>
      <c r="M14" s="74">
        <f>IFERROR(IF(L14&gt;0,K14/L14,"-"),"-")</f>
        <v/>
      </c>
      <c r="N14" s="75" t="n"/>
      <c r="O14" s="74" t="n"/>
      <c r="P14" s="74">
        <f>IFERROR(IF(O14&gt;0,N14/O14,"-"),"-")</f>
        <v/>
      </c>
      <c r="Q14" s="75" t="n">
        <v>1</v>
      </c>
      <c r="R14" s="74" t="n">
        <v>1</v>
      </c>
      <c r="S14" s="74">
        <f>IFERROR(IF(R14&gt;0,Q14/R14,"-"),"-")</f>
        <v/>
      </c>
      <c r="T14" s="75" t="n">
        <v>1</v>
      </c>
      <c r="U14" s="74" t="n"/>
      <c r="V14" s="74">
        <f>IFERROR(IF(U14&gt;0,T14/U14,"-"),"-")</f>
        <v/>
      </c>
      <c r="W14" s="75" t="n"/>
      <c r="X14" s="74" t="n">
        <v>1</v>
      </c>
      <c r="Y14" s="74">
        <f>IFERROR(IF(X14&gt;0,W14/X14,"-"),"-")</f>
        <v/>
      </c>
      <c r="Z14" s="75" t="n">
        <v>1</v>
      </c>
      <c r="AA14" s="74" t="n">
        <v>2</v>
      </c>
      <c r="AB14" s="74">
        <f>IFERROR(IF(AA14&gt;0,Z14/AA14,"-"),"-")</f>
        <v/>
      </c>
      <c r="AC14" s="75" t="n">
        <v>2</v>
      </c>
      <c r="AD14" s="74" t="n">
        <v>3</v>
      </c>
      <c r="AE14" s="74">
        <f>IFERROR(IF(AD14&gt;0,AC14/AD14,"-"),"-")</f>
        <v/>
      </c>
      <c r="AF14" s="75" t="n"/>
      <c r="AG14" s="74" t="n"/>
      <c r="AH14" s="74">
        <f>IFERROR(IF(AG14&gt;0,AF14/AG14,"-"),"-")</f>
        <v/>
      </c>
      <c r="AI14" s="75" t="n">
        <v>2</v>
      </c>
      <c r="AJ14" s="74" t="n">
        <v>1</v>
      </c>
      <c r="AK14" s="74">
        <f>IFERROR(IF(AJ14&gt;0,AI14/AJ14,"-"),"-")</f>
        <v/>
      </c>
      <c r="AL14" s="75" t="n"/>
      <c r="AM14" s="74" t="n"/>
      <c r="AN14" s="74">
        <f>IFERROR(IF(AM14&gt;0,AL14/AM14,"-"),"-")</f>
        <v/>
      </c>
      <c r="AO14" s="75" t="n"/>
      <c r="AP14" s="74" t="n">
        <v>1</v>
      </c>
      <c r="AQ14" s="74">
        <f>IFERROR(IF(AP14&gt;0,AO14/AP14,"-"),"-")</f>
        <v/>
      </c>
      <c r="AR14" s="75" t="n"/>
      <c r="AS14" s="60" t="n"/>
      <c r="AT14" s="60" t="n"/>
    </row>
    <row r="15" ht="15" customHeight="1">
      <c r="A15" s="70" t="n">
        <v>8</v>
      </c>
      <c r="B15" s="71" t="inlineStr">
        <is>
          <t>Bel Collections</t>
        </is>
      </c>
      <c r="C15" s="70" t="inlineStr">
        <is>
          <t>B00004</t>
        </is>
      </c>
      <c r="D15" s="71" t="inlineStr">
        <is>
          <t>Meydan</t>
        </is>
      </c>
      <c r="E15" s="70" t="n">
        <v>4</v>
      </c>
      <c r="F15" s="72">
        <f>SUM(I15:AP15)</f>
        <v/>
      </c>
      <c r="G15" s="72">
        <f>SUM(J15:AQ15)</f>
        <v/>
      </c>
      <c r="H15" s="73">
        <f>IFERROR(IF(G15&gt;0,F15/G15,"-"),"-")</f>
        <v/>
      </c>
      <c r="I15" s="74" t="n">
        <v>12</v>
      </c>
      <c r="J15" s="74">
        <f>IFERROR(IF(I15&gt;0,H15/I15,"-"),"-")</f>
        <v/>
      </c>
      <c r="K15" s="75" t="n">
        <v>7</v>
      </c>
      <c r="L15" s="74" t="n">
        <v>10</v>
      </c>
      <c r="M15" s="74">
        <f>IFERROR(IF(L15&gt;0,K15/L15,"-"),"-")</f>
        <v/>
      </c>
      <c r="N15" s="75" t="n">
        <v>2</v>
      </c>
      <c r="O15" s="74" t="n">
        <v>7</v>
      </c>
      <c r="P15" s="74">
        <f>IFERROR(IF(O15&gt;0,N15/O15,"-"),"-")</f>
        <v/>
      </c>
      <c r="Q15" s="75" t="n"/>
      <c r="R15" s="74" t="n">
        <v>6</v>
      </c>
      <c r="S15" s="74">
        <f>IFERROR(IF(R15&gt;0,Q15/R15,"-"),"-")</f>
        <v/>
      </c>
      <c r="T15" s="75" t="n">
        <v>2</v>
      </c>
      <c r="U15" s="74" t="n">
        <v>8</v>
      </c>
      <c r="V15" s="74">
        <f>IFERROR(IF(U15&gt;0,T15/U15,"-"),"-")</f>
        <v/>
      </c>
      <c r="W15" s="75" t="n">
        <v>4</v>
      </c>
      <c r="X15" s="74" t="n">
        <v>13</v>
      </c>
      <c r="Y15" s="74">
        <f>IFERROR(IF(X15&gt;0,W15/X15,"-"),"-")</f>
        <v/>
      </c>
      <c r="Z15" s="75" t="n">
        <v>5</v>
      </c>
      <c r="AA15" s="74" t="n">
        <v>20</v>
      </c>
      <c r="AB15" s="74">
        <f>IFERROR(IF(AA15&gt;0,Z15/AA15,"-"),"-")</f>
        <v/>
      </c>
      <c r="AC15" s="75" t="n">
        <v>5</v>
      </c>
      <c r="AD15" s="74" t="n">
        <v>22</v>
      </c>
      <c r="AE15" s="74">
        <f>IFERROR(IF(AD15&gt;0,AC15/AD15,"-"),"-")</f>
        <v/>
      </c>
      <c r="AF15" s="75" t="n"/>
      <c r="AG15" s="74" t="n"/>
      <c r="AH15" s="74">
        <f>IFERROR(IF(AG15&gt;0,AF15/AG15,"-"),"-")</f>
        <v/>
      </c>
      <c r="AI15" s="75" t="n">
        <v>1</v>
      </c>
      <c r="AJ15" s="74" t="n">
        <v>11</v>
      </c>
      <c r="AK15" s="74">
        <f>IFERROR(IF(AJ15&gt;0,AI15/AJ15,"-"),"-")</f>
        <v/>
      </c>
      <c r="AL15" s="75" t="n">
        <v>1</v>
      </c>
      <c r="AM15" s="74" t="n">
        <v>5</v>
      </c>
      <c r="AN15" s="74">
        <f>IFERROR(IF(AM15&gt;0,AL15/AM15,"-"),"-")</f>
        <v/>
      </c>
      <c r="AO15" s="75" t="n">
        <v>2</v>
      </c>
      <c r="AP15" s="74" t="n">
        <v>2</v>
      </c>
      <c r="AQ15" s="74">
        <f>IFERROR(IF(AP15&gt;0,AO15/AP15,"-"),"-")</f>
        <v/>
      </c>
      <c r="AR15" s="75" t="n">
        <v>1</v>
      </c>
      <c r="AS15" s="60" t="n"/>
      <c r="AT15" s="60" t="n"/>
    </row>
    <row r="16" ht="15" customHeight="1">
      <c r="A16" s="70" t="n">
        <v>9</v>
      </c>
      <c r="B16" s="71" t="inlineStr">
        <is>
          <t>Bel Collections</t>
        </is>
      </c>
      <c r="C16" s="70" t="inlineStr">
        <is>
          <t>B00005</t>
        </is>
      </c>
      <c r="D16" s="71" t="inlineStr">
        <is>
          <t>Mystery</t>
        </is>
      </c>
      <c r="E16" s="70" t="n">
        <v>6</v>
      </c>
      <c r="F16" s="72">
        <f>SUM(I16:AP16)</f>
        <v/>
      </c>
      <c r="G16" s="72">
        <f>SUM(J16:AQ16)</f>
        <v/>
      </c>
      <c r="H16" s="73">
        <f>IFERROR(IF(G16&gt;0,F16/G16,"-"),"-")</f>
        <v/>
      </c>
      <c r="I16" s="74" t="n">
        <v>18</v>
      </c>
      <c r="J16" s="74">
        <f>IFERROR(IF(I16&gt;0,H16/I16,"-"),"-")</f>
        <v/>
      </c>
      <c r="K16" s="75" t="n">
        <v>10</v>
      </c>
      <c r="L16" s="74" t="n">
        <v>58</v>
      </c>
      <c r="M16" s="74">
        <f>IFERROR(IF(L16&gt;0,K16/L16,"-"),"-")</f>
        <v/>
      </c>
      <c r="N16" s="75" t="n">
        <v>4</v>
      </c>
      <c r="O16" s="74" t="n">
        <v>14</v>
      </c>
      <c r="P16" s="74">
        <f>IFERROR(IF(O16&gt;0,N16/O16,"-"),"-")</f>
        <v/>
      </c>
      <c r="Q16" s="75" t="n">
        <v>4</v>
      </c>
      <c r="R16" s="74" t="n">
        <v>27</v>
      </c>
      <c r="S16" s="74">
        <f>IFERROR(IF(R16&gt;0,Q16/R16,"-"),"-")</f>
        <v/>
      </c>
      <c r="T16" s="75" t="n">
        <v>3</v>
      </c>
      <c r="U16" s="74" t="n">
        <v>18</v>
      </c>
      <c r="V16" s="74">
        <f>IFERROR(IF(U16&gt;0,T16/U16,"-"),"-")</f>
        <v/>
      </c>
      <c r="W16" s="75" t="n">
        <v>10</v>
      </c>
      <c r="X16" s="74" t="n">
        <v>47</v>
      </c>
      <c r="Y16" s="74">
        <f>IFERROR(IF(X16&gt;0,W16/X16,"-"),"-")</f>
        <v/>
      </c>
      <c r="Z16" s="75" t="n">
        <v>12</v>
      </c>
      <c r="AA16" s="74" t="n">
        <v>51</v>
      </c>
      <c r="AB16" s="74">
        <f>IFERROR(IF(AA16&gt;0,Z16/AA16,"-"),"-")</f>
        <v/>
      </c>
      <c r="AC16" s="75" t="n">
        <v>8</v>
      </c>
      <c r="AD16" s="74" t="n">
        <v>59</v>
      </c>
      <c r="AE16" s="74">
        <f>IFERROR(IF(AD16&gt;0,AC16/AD16,"-"),"-")</f>
        <v/>
      </c>
      <c r="AF16" s="75" t="n"/>
      <c r="AG16" s="74" t="n"/>
      <c r="AH16" s="74">
        <f>IFERROR(IF(AG16&gt;0,AF16/AG16,"-"),"-")</f>
        <v/>
      </c>
      <c r="AI16" s="75" t="n">
        <v>4</v>
      </c>
      <c r="AJ16" s="74" t="n">
        <v>17</v>
      </c>
      <c r="AK16" s="74">
        <f>IFERROR(IF(AJ16&gt;0,AI16/AJ16,"-"),"-")</f>
        <v/>
      </c>
      <c r="AL16" s="75" t="n">
        <v>2</v>
      </c>
      <c r="AM16" s="74" t="n">
        <v>8</v>
      </c>
      <c r="AN16" s="74">
        <f>IFERROR(IF(AM16&gt;0,AL16/AM16,"-"),"-")</f>
        <v/>
      </c>
      <c r="AO16" s="75" t="n">
        <v>4</v>
      </c>
      <c r="AP16" s="74" t="n">
        <v>26</v>
      </c>
      <c r="AQ16" s="74">
        <f>IFERROR(IF(AP16&gt;0,AO16/AP16,"-"),"-")</f>
        <v/>
      </c>
      <c r="AR16" s="75" t="n">
        <v>6</v>
      </c>
      <c r="AS16" s="60" t="n"/>
      <c r="AT16" s="60" t="n"/>
    </row>
    <row r="17" ht="15" customHeight="1">
      <c r="A17" s="70" t="n">
        <v>10</v>
      </c>
      <c r="B17" s="71" t="inlineStr">
        <is>
          <t>Bel Collections</t>
        </is>
      </c>
      <c r="C17" s="70" t="inlineStr">
        <is>
          <t>B00006</t>
        </is>
      </c>
      <c r="D17" s="71" t="inlineStr">
        <is>
          <t>Mersal</t>
        </is>
      </c>
      <c r="E17" s="70" t="n">
        <v>2</v>
      </c>
      <c r="F17" s="72">
        <f>SUM(I17:AP17)</f>
        <v/>
      </c>
      <c r="G17" s="72">
        <f>SUM(J17:AQ17)</f>
        <v/>
      </c>
      <c r="H17" s="73">
        <f>IFERROR(IF(G17&gt;0,F17/G17,"-"),"-")</f>
        <v/>
      </c>
      <c r="I17" s="74" t="n">
        <v>1</v>
      </c>
      <c r="J17" s="74">
        <f>IFERROR(IF(I17&gt;0,H17/I17,"-"),"-")</f>
        <v/>
      </c>
      <c r="K17" s="75" t="n">
        <v>2</v>
      </c>
      <c r="L17" s="74" t="n">
        <v>1</v>
      </c>
      <c r="M17" s="74">
        <f>IFERROR(IF(L17&gt;0,K17/L17,"-"),"-")</f>
        <v/>
      </c>
      <c r="N17" s="75" t="n">
        <v>1</v>
      </c>
      <c r="O17" s="74" t="n">
        <v>3</v>
      </c>
      <c r="P17" s="74">
        <f>IFERROR(IF(O17&gt;0,N17/O17,"-"),"-")</f>
        <v/>
      </c>
      <c r="Q17" s="75" t="n">
        <v>1</v>
      </c>
      <c r="R17" s="74" t="n">
        <v>1</v>
      </c>
      <c r="S17" s="74">
        <f>IFERROR(IF(R17&gt;0,Q17/R17,"-"),"-")</f>
        <v/>
      </c>
      <c r="T17" s="75" t="n"/>
      <c r="U17" s="74" t="n">
        <v>2</v>
      </c>
      <c r="V17" s="74">
        <f>IFERROR(IF(U17&gt;0,T17/U17,"-"),"-")</f>
        <v/>
      </c>
      <c r="W17" s="75" t="n">
        <v>2</v>
      </c>
      <c r="X17" s="74" t="n">
        <v>1</v>
      </c>
      <c r="Y17" s="74">
        <f>IFERROR(IF(X17&gt;0,W17/X17,"-"),"-")</f>
        <v/>
      </c>
      <c r="Z17" s="75" t="n">
        <v>1</v>
      </c>
      <c r="AA17" s="74" t="n">
        <v>2</v>
      </c>
      <c r="AB17" s="74">
        <f>IFERROR(IF(AA17&gt;0,Z17/AA17,"-"),"-")</f>
        <v/>
      </c>
      <c r="AC17" s="75" t="n"/>
      <c r="AD17" s="74" t="n">
        <v>3</v>
      </c>
      <c r="AE17" s="74">
        <f>IFERROR(IF(AD17&gt;0,AC17/AD17,"-"),"-")</f>
        <v/>
      </c>
      <c r="AF17" s="75" t="n"/>
      <c r="AG17" s="74" t="n"/>
      <c r="AH17" s="74">
        <f>IFERROR(IF(AG17&gt;0,AF17/AG17,"-"),"-")</f>
        <v/>
      </c>
      <c r="AI17" s="75" t="n">
        <v>1</v>
      </c>
      <c r="AJ17" s="74" t="n">
        <v>2</v>
      </c>
      <c r="AK17" s="74">
        <f>IFERROR(IF(AJ17&gt;0,AI17/AJ17,"-"),"-")</f>
        <v/>
      </c>
      <c r="AL17" s="75" t="n"/>
      <c r="AM17" s="74" t="n"/>
      <c r="AN17" s="74">
        <f>IFERROR(IF(AM17&gt;0,AL17/AM17,"-"),"-")</f>
        <v/>
      </c>
      <c r="AO17" s="75" t="n"/>
      <c r="AP17" s="74" t="n">
        <v>1</v>
      </c>
      <c r="AQ17" s="74">
        <f>IFERROR(IF(AP17&gt;0,AO17/AP17,"-"),"-")</f>
        <v/>
      </c>
      <c r="AR17" s="75" t="n">
        <v>1</v>
      </c>
      <c r="AS17" s="60" t="n"/>
      <c r="AT17" s="60" t="n"/>
    </row>
    <row r="18" ht="15" customHeight="1">
      <c r="A18" s="70" t="n">
        <v>11</v>
      </c>
      <c r="B18" s="71" t="inlineStr">
        <is>
          <t>Bel Collections</t>
        </is>
      </c>
      <c r="C18" s="70" t="inlineStr">
        <is>
          <t>B00007</t>
        </is>
      </c>
      <c r="D18" s="71" t="inlineStr">
        <is>
          <t>Peaceful Life</t>
        </is>
      </c>
      <c r="E18" s="70" t="n">
        <v>2</v>
      </c>
      <c r="F18" s="72">
        <f>SUM(I18:AP18)</f>
        <v/>
      </c>
      <c r="G18" s="72">
        <f>SUM(J18:AQ18)</f>
        <v/>
      </c>
      <c r="H18" s="73">
        <f>IFERROR(IF(G18&gt;0,F18/G18,"-"),"-")</f>
        <v/>
      </c>
      <c r="I18" s="74" t="n"/>
      <c r="J18" s="74">
        <f>IFERROR(IF(I18&gt;0,H18/I18,"-"),"-")</f>
        <v/>
      </c>
      <c r="K18" s="75" t="n">
        <v>2</v>
      </c>
      <c r="L18" s="74" t="n">
        <v>1</v>
      </c>
      <c r="M18" s="74">
        <f>IFERROR(IF(L18&gt;0,K18/L18,"-"),"-")</f>
        <v/>
      </c>
      <c r="N18" s="75" t="n"/>
      <c r="O18" s="74" t="n">
        <v>1</v>
      </c>
      <c r="P18" s="74">
        <f>IFERROR(IF(O18&gt;0,N18/O18,"-"),"-")</f>
        <v/>
      </c>
      <c r="Q18" s="75" t="n">
        <v>1</v>
      </c>
      <c r="R18" s="74" t="n">
        <v>3</v>
      </c>
      <c r="S18" s="74">
        <f>IFERROR(IF(R18&gt;0,Q18/R18,"-"),"-")</f>
        <v/>
      </c>
      <c r="T18" s="75" t="n"/>
      <c r="U18" s="74" t="n">
        <v>3</v>
      </c>
      <c r="V18" s="74">
        <f>IFERROR(IF(U18&gt;0,T18/U18,"-"),"-")</f>
        <v/>
      </c>
      <c r="W18" s="75" t="n">
        <v>1</v>
      </c>
      <c r="X18" s="74" t="n">
        <v>6</v>
      </c>
      <c r="Y18" s="74">
        <f>IFERROR(IF(X18&gt;0,W18/X18,"-"),"-")</f>
        <v/>
      </c>
      <c r="Z18" s="75" t="n"/>
      <c r="AA18" s="74" t="n">
        <v>2</v>
      </c>
      <c r="AB18" s="74">
        <f>IFERROR(IF(AA18&gt;0,Z18/AA18,"-"),"-")</f>
        <v/>
      </c>
      <c r="AC18" s="75" t="n"/>
      <c r="AD18" s="74" t="n">
        <v>3</v>
      </c>
      <c r="AE18" s="74">
        <f>IFERROR(IF(AD18&gt;0,AC18/AD18,"-"),"-")</f>
        <v/>
      </c>
      <c r="AF18" s="75" t="n"/>
      <c r="AG18" s="74" t="n"/>
      <c r="AH18" s="74">
        <f>IFERROR(IF(AG18&gt;0,AF18/AG18,"-"),"-")</f>
        <v/>
      </c>
      <c r="AI18" s="75" t="n">
        <v>1</v>
      </c>
      <c r="AJ18" s="74" t="n">
        <v>2</v>
      </c>
      <c r="AK18" s="74">
        <f>IFERROR(IF(AJ18&gt;0,AI18/AJ18,"-"),"-")</f>
        <v/>
      </c>
      <c r="AL18" s="75" t="n"/>
      <c r="AM18" s="74" t="n"/>
      <c r="AN18" s="74">
        <f>IFERROR(IF(AM18&gt;0,AL18/AM18,"-"),"-")</f>
        <v/>
      </c>
      <c r="AO18" s="75" t="n"/>
      <c r="AP18" s="74" t="n">
        <v>4</v>
      </c>
      <c r="AQ18" s="74">
        <f>IFERROR(IF(AP18&gt;0,AO18/AP18,"-"),"-")</f>
        <v/>
      </c>
      <c r="AR18" s="75" t="n">
        <v>1</v>
      </c>
      <c r="AS18" s="60" t="n"/>
      <c r="AT18" s="60" t="n"/>
    </row>
    <row r="19" ht="15" customHeight="1">
      <c r="A19" s="70" t="n">
        <v>12</v>
      </c>
      <c r="B19" s="71" t="inlineStr">
        <is>
          <t>Bel Collections</t>
        </is>
      </c>
      <c r="C19" s="70" t="inlineStr">
        <is>
          <t>B00008</t>
        </is>
      </c>
      <c r="D19" s="71" t="inlineStr">
        <is>
          <t>Midnight Glow</t>
        </is>
      </c>
      <c r="E19" s="70" t="n"/>
      <c r="F19" s="72">
        <f>SUM(I19:AP19)</f>
        <v/>
      </c>
      <c r="G19" s="72">
        <f>SUM(J19:AQ19)</f>
        <v/>
      </c>
      <c r="H19" s="73">
        <f>IFERROR(IF(G19&gt;0,F19/G19,"-"),"-")</f>
        <v/>
      </c>
      <c r="I19" s="74" t="n">
        <v>8</v>
      </c>
      <c r="J19" s="74">
        <f>IFERROR(IF(I19&gt;0,H19/I19,"-"),"-")</f>
        <v/>
      </c>
      <c r="K19" s="75" t="n"/>
      <c r="L19" s="74" t="n">
        <v>40</v>
      </c>
      <c r="M19" s="74">
        <f>IFERROR(IF(L19&gt;0,K19/L19,"-"),"-")</f>
        <v/>
      </c>
      <c r="N19" s="75" t="n"/>
      <c r="O19" s="74" t="n">
        <v>2</v>
      </c>
      <c r="P19" s="74">
        <f>IFERROR(IF(O19&gt;0,N19/O19,"-"),"-")</f>
        <v/>
      </c>
      <c r="Q19" s="75" t="n"/>
      <c r="R19" s="74" t="n">
        <v>1</v>
      </c>
      <c r="S19" s="74">
        <f>IFERROR(IF(R19&gt;0,Q19/R19,"-"),"-")</f>
        <v/>
      </c>
      <c r="T19" s="75" t="n"/>
      <c r="U19" s="74" t="n">
        <v>4</v>
      </c>
      <c r="V19" s="74">
        <f>IFERROR(IF(U19&gt;0,T19/U19,"-"),"-")</f>
        <v/>
      </c>
      <c r="W19" s="75" t="n"/>
      <c r="X19" s="74" t="n">
        <v>8</v>
      </c>
      <c r="Y19" s="74">
        <f>IFERROR(IF(X19&gt;0,W19/X19,"-"),"-")</f>
        <v/>
      </c>
      <c r="Z19" s="75" t="n"/>
      <c r="AA19" s="74" t="n">
        <v>1</v>
      </c>
      <c r="AB19" s="74">
        <f>IFERROR(IF(AA19&gt;0,Z19/AA19,"-"),"-")</f>
        <v/>
      </c>
      <c r="AC19" s="75" t="n"/>
      <c r="AD19" s="74" t="n">
        <v>5</v>
      </c>
      <c r="AE19" s="74">
        <f>IFERROR(IF(AD19&gt;0,AC19/AD19,"-"),"-")</f>
        <v/>
      </c>
      <c r="AF19" s="75" t="n"/>
      <c r="AG19" s="74" t="n"/>
      <c r="AH19" s="74">
        <f>IFERROR(IF(AG19&gt;0,AF19/AG19,"-"),"-")</f>
        <v/>
      </c>
      <c r="AI19" s="75" t="n"/>
      <c r="AJ19" s="74" t="n">
        <v>1</v>
      </c>
      <c r="AK19" s="74">
        <f>IFERROR(IF(AJ19&gt;0,AI19/AJ19,"-"),"-")</f>
        <v/>
      </c>
      <c r="AL19" s="75" t="n">
        <v>1</v>
      </c>
      <c r="AM19" s="74" t="n">
        <v>1</v>
      </c>
      <c r="AN19" s="74">
        <f>IFERROR(IF(AM19&gt;0,AL19/AM19,"-"),"-")</f>
        <v/>
      </c>
      <c r="AO19" s="75" t="n"/>
      <c r="AP19" s="74" t="n">
        <v>4</v>
      </c>
      <c r="AQ19" s="74">
        <f>IFERROR(IF(AP19&gt;0,AO19/AP19,"-"),"-")</f>
        <v/>
      </c>
      <c r="AR19" s="75" t="n"/>
      <c r="AS19" s="60" t="n"/>
      <c r="AT19" s="60" t="n"/>
    </row>
    <row r="20" ht="15" customHeight="1">
      <c r="A20" s="70" t="n">
        <v>13</v>
      </c>
      <c r="B20" s="71" t="inlineStr">
        <is>
          <t>Bel Collections</t>
        </is>
      </c>
      <c r="C20" s="70" t="inlineStr">
        <is>
          <t>B00010</t>
        </is>
      </c>
      <c r="D20" s="71" t="inlineStr">
        <is>
          <t>Sakura</t>
        </is>
      </c>
      <c r="E20" s="70" t="n">
        <v>6</v>
      </c>
      <c r="F20" s="72">
        <f>SUM(I20:AP20)</f>
        <v/>
      </c>
      <c r="G20" s="72">
        <f>SUM(J20:AQ20)</f>
        <v/>
      </c>
      <c r="H20" s="73">
        <f>IFERROR(IF(G20&gt;0,F20/G20,"-"),"-")</f>
        <v/>
      </c>
      <c r="I20" s="74" t="n">
        <v>28</v>
      </c>
      <c r="J20" s="74">
        <f>IFERROR(IF(I20&gt;0,H20/I20,"-"),"-")</f>
        <v/>
      </c>
      <c r="K20" s="75" t="n">
        <v>9</v>
      </c>
      <c r="L20" s="74" t="n">
        <v>2</v>
      </c>
      <c r="M20" s="74">
        <f>IFERROR(IF(L20&gt;0,K20/L20,"-"),"-")</f>
        <v/>
      </c>
      <c r="N20" s="75" t="n">
        <v>1</v>
      </c>
      <c r="O20" s="74" t="n">
        <v>12</v>
      </c>
      <c r="P20" s="74">
        <f>IFERROR(IF(O20&gt;0,N20/O20,"-"),"-")</f>
        <v/>
      </c>
      <c r="Q20" s="75" t="n">
        <v>3</v>
      </c>
      <c r="R20" s="74" t="n">
        <v>31</v>
      </c>
      <c r="S20" s="74">
        <f>IFERROR(IF(R20&gt;0,Q20/R20,"-"),"-")</f>
        <v/>
      </c>
      <c r="T20" s="75" t="n">
        <v>2</v>
      </c>
      <c r="U20" s="74" t="n">
        <v>29</v>
      </c>
      <c r="V20" s="74">
        <f>IFERROR(IF(U20&gt;0,T20/U20,"-"),"-")</f>
        <v/>
      </c>
      <c r="W20" s="75" t="n">
        <v>8</v>
      </c>
      <c r="X20" s="74" t="n">
        <v>34</v>
      </c>
      <c r="Y20" s="74">
        <f>IFERROR(IF(X20&gt;0,W20/X20,"-"),"-")</f>
        <v/>
      </c>
      <c r="Z20" s="75" t="n">
        <v>8</v>
      </c>
      <c r="AA20" s="74" t="n">
        <v>55</v>
      </c>
      <c r="AB20" s="74">
        <f>IFERROR(IF(AA20&gt;0,Z20/AA20,"-"),"-")</f>
        <v/>
      </c>
      <c r="AC20" s="75" t="n">
        <v>6</v>
      </c>
      <c r="AD20" s="74" t="n">
        <v>46</v>
      </c>
      <c r="AE20" s="74">
        <f>IFERROR(IF(AD20&gt;0,AC20/AD20,"-"),"-")</f>
        <v/>
      </c>
      <c r="AF20" s="75" t="n"/>
      <c r="AG20" s="74" t="n"/>
      <c r="AH20" s="74">
        <f>IFERROR(IF(AG20&gt;0,AF20/AG20,"-"),"-")</f>
        <v/>
      </c>
      <c r="AI20" s="75" t="n">
        <v>5</v>
      </c>
      <c r="AJ20" s="74" t="n">
        <v>18</v>
      </c>
      <c r="AK20" s="74">
        <f>IFERROR(IF(AJ20&gt;0,AI20/AJ20,"-"),"-")</f>
        <v/>
      </c>
      <c r="AL20" s="75" t="n">
        <v>4</v>
      </c>
      <c r="AM20" s="74" t="n">
        <v>15</v>
      </c>
      <c r="AN20" s="74">
        <f>IFERROR(IF(AM20&gt;0,AL20/AM20,"-"),"-")</f>
        <v/>
      </c>
      <c r="AO20" s="75" t="n">
        <v>3</v>
      </c>
      <c r="AP20" s="74" t="n">
        <v>11</v>
      </c>
      <c r="AQ20" s="74">
        <f>IFERROR(IF(AP20&gt;0,AO20/AP20,"-"),"-")</f>
        <v/>
      </c>
      <c r="AR20" s="75" t="n">
        <v>7</v>
      </c>
      <c r="AS20" s="60" t="n"/>
      <c r="AT20" s="60" t="n"/>
    </row>
    <row r="21" ht="15" customHeight="1">
      <c r="A21" s="70" t="n">
        <v>14</v>
      </c>
      <c r="B21" s="71" t="inlineStr">
        <is>
          <t>Bel Collections</t>
        </is>
      </c>
      <c r="C21" s="70" t="inlineStr">
        <is>
          <t>B00012</t>
        </is>
      </c>
      <c r="D21" s="71" t="inlineStr">
        <is>
          <t>Ambergris</t>
        </is>
      </c>
      <c r="E21" s="70" t="n">
        <v>1</v>
      </c>
      <c r="F21" s="72">
        <f>SUM(I21:AP21)</f>
        <v/>
      </c>
      <c r="G21" s="72">
        <f>SUM(J21:AQ21)</f>
        <v/>
      </c>
      <c r="H21" s="73">
        <f>IFERROR(IF(G21&gt;0,F21/G21,"-"),"-")</f>
        <v/>
      </c>
      <c r="I21" s="74" t="n">
        <v>1</v>
      </c>
      <c r="J21" s="74">
        <f>IFERROR(IF(I21&gt;0,H21/I21,"-"),"-")</f>
        <v/>
      </c>
      <c r="K21" s="75" t="n">
        <v>1</v>
      </c>
      <c r="L21" s="74" t="n"/>
      <c r="M21" s="74">
        <f>IFERROR(IF(L21&gt;0,K21/L21,"-"),"-")</f>
        <v/>
      </c>
      <c r="N21" s="75" t="n"/>
      <c r="O21" s="74" t="n">
        <v>2</v>
      </c>
      <c r="P21" s="74">
        <f>IFERROR(IF(O21&gt;0,N21/O21,"-"),"-")</f>
        <v/>
      </c>
      <c r="Q21" s="75" t="n"/>
      <c r="R21" s="74" t="n">
        <v>4</v>
      </c>
      <c r="S21" s="74">
        <f>IFERROR(IF(R21&gt;0,Q21/R21,"-"),"-")</f>
        <v/>
      </c>
      <c r="T21" s="75" t="n"/>
      <c r="U21" s="74" t="n">
        <v>1</v>
      </c>
      <c r="V21" s="74">
        <f>IFERROR(IF(U21&gt;0,T21/U21,"-"),"-")</f>
        <v/>
      </c>
      <c r="W21" s="75" t="n">
        <v>2</v>
      </c>
      <c r="X21" s="74" t="n">
        <v>1</v>
      </c>
      <c r="Y21" s="74">
        <f>IFERROR(IF(X21&gt;0,W21/X21,"-"),"-")</f>
        <v/>
      </c>
      <c r="Z21" s="75" t="n">
        <v>1</v>
      </c>
      <c r="AA21" s="74" t="n">
        <v>2</v>
      </c>
      <c r="AB21" s="74">
        <f>IFERROR(IF(AA21&gt;0,Z21/AA21,"-"),"-")</f>
        <v/>
      </c>
      <c r="AC21" s="75" t="n">
        <v>1</v>
      </c>
      <c r="AD21" s="74" t="n">
        <v>6</v>
      </c>
      <c r="AE21" s="74">
        <f>IFERROR(IF(AD21&gt;0,AC21/AD21,"-"),"-")</f>
        <v/>
      </c>
      <c r="AF21" s="75" t="n"/>
      <c r="AG21" s="74" t="n"/>
      <c r="AH21" s="74">
        <f>IFERROR(IF(AG21&gt;0,AF21/AG21,"-"),"-")</f>
        <v/>
      </c>
      <c r="AI21" s="75" t="n">
        <v>3</v>
      </c>
      <c r="AJ21" s="74" t="n">
        <v>2</v>
      </c>
      <c r="AK21" s="74">
        <f>IFERROR(IF(AJ21&gt;0,AI21/AJ21,"-"),"-")</f>
        <v/>
      </c>
      <c r="AL21" s="75" t="n">
        <v>1</v>
      </c>
      <c r="AM21" s="74" t="n"/>
      <c r="AN21" s="74">
        <f>IFERROR(IF(AM21&gt;0,AL21/AM21,"-"),"-")</f>
        <v/>
      </c>
      <c r="AO21" s="75" t="n">
        <v>1</v>
      </c>
      <c r="AP21" s="74" t="n">
        <v>1</v>
      </c>
      <c r="AQ21" s="74">
        <f>IFERROR(IF(AP21&gt;0,AO21/AP21,"-"),"-")</f>
        <v/>
      </c>
      <c r="AR21" s="75" t="n"/>
      <c r="AS21" s="60" t="n"/>
      <c r="AT21" s="60" t="n"/>
    </row>
    <row r="22" ht="15" customHeight="1">
      <c r="A22" s="70" t="n">
        <v>15</v>
      </c>
      <c r="B22" s="71" t="inlineStr">
        <is>
          <t>Bel Collections</t>
        </is>
      </c>
      <c r="C22" s="70" t="inlineStr">
        <is>
          <t>B00014</t>
        </is>
      </c>
      <c r="D22" s="71" t="inlineStr">
        <is>
          <t>Firewood</t>
        </is>
      </c>
      <c r="E22" s="70" t="n">
        <v>3</v>
      </c>
      <c r="F22" s="72">
        <f>SUM(I22:AP22)</f>
        <v/>
      </c>
      <c r="G22" s="72">
        <f>SUM(J22:AQ22)</f>
        <v/>
      </c>
      <c r="H22" s="73">
        <f>IFERROR(IF(G22&gt;0,F22/G22,"-"),"-")</f>
        <v/>
      </c>
      <c r="I22" s="74" t="n">
        <v>1</v>
      </c>
      <c r="J22" s="74">
        <f>IFERROR(IF(I22&gt;0,H22/I22,"-"),"-")</f>
        <v/>
      </c>
      <c r="K22" s="75" t="n">
        <v>1</v>
      </c>
      <c r="L22" s="74" t="n">
        <v>8</v>
      </c>
      <c r="M22" s="74">
        <f>IFERROR(IF(L22&gt;0,K22/L22,"-"),"-")</f>
        <v/>
      </c>
      <c r="N22" s="75" t="n">
        <v>1</v>
      </c>
      <c r="O22" s="74" t="n">
        <v>4</v>
      </c>
      <c r="P22" s="74">
        <f>IFERROR(IF(O22&gt;0,N22/O22,"-"),"-")</f>
        <v/>
      </c>
      <c r="Q22" s="75" t="n">
        <v>2</v>
      </c>
      <c r="R22" s="74" t="n">
        <v>10</v>
      </c>
      <c r="S22" s="74">
        <f>IFERROR(IF(R22&gt;0,Q22/R22,"-"),"-")</f>
        <v/>
      </c>
      <c r="T22" s="75" t="n">
        <v>1</v>
      </c>
      <c r="U22" s="74" t="n">
        <v>5</v>
      </c>
      <c r="V22" s="74">
        <f>IFERROR(IF(U22&gt;0,T22/U22,"-"),"-")</f>
        <v/>
      </c>
      <c r="W22" s="75" t="n">
        <v>2</v>
      </c>
      <c r="X22" s="74" t="n">
        <v>4</v>
      </c>
      <c r="Y22" s="74">
        <f>IFERROR(IF(X22&gt;0,W22/X22,"-"),"-")</f>
        <v/>
      </c>
      <c r="Z22" s="75" t="n">
        <v>2</v>
      </c>
      <c r="AA22" s="74" t="n">
        <v>9</v>
      </c>
      <c r="AB22" s="74">
        <f>IFERROR(IF(AA22&gt;0,Z22/AA22,"-"),"-")</f>
        <v/>
      </c>
      <c r="AC22" s="75" t="n">
        <v>1</v>
      </c>
      <c r="AD22" s="74" t="n">
        <v>15</v>
      </c>
      <c r="AE22" s="74">
        <f>IFERROR(IF(AD22&gt;0,AC22/AD22,"-"),"-")</f>
        <v/>
      </c>
      <c r="AF22" s="75" t="n"/>
      <c r="AG22" s="74" t="n"/>
      <c r="AH22" s="74">
        <f>IFERROR(IF(AG22&gt;0,AF22/AG22,"-"),"-")</f>
        <v/>
      </c>
      <c r="AI22" s="75" t="n">
        <v>2</v>
      </c>
      <c r="AJ22" s="74" t="n">
        <v>4</v>
      </c>
      <c r="AK22" s="74">
        <f>IFERROR(IF(AJ22&gt;0,AI22/AJ22,"-"),"-")</f>
        <v/>
      </c>
      <c r="AL22" s="75" t="n">
        <v>3</v>
      </c>
      <c r="AM22" s="74" t="n">
        <v>6</v>
      </c>
      <c r="AN22" s="74">
        <f>IFERROR(IF(AM22&gt;0,AL22/AM22,"-"),"-")</f>
        <v/>
      </c>
      <c r="AO22" s="75" t="n">
        <v>2</v>
      </c>
      <c r="AP22" s="74" t="n">
        <v>1</v>
      </c>
      <c r="AQ22" s="74">
        <f>IFERROR(IF(AP22&gt;0,AO22/AP22,"-"),"-")</f>
        <v/>
      </c>
      <c r="AR22" s="75" t="n">
        <v>2</v>
      </c>
      <c r="AS22" s="60" t="n"/>
      <c r="AT22" s="60" t="n"/>
    </row>
    <row r="23" ht="15" customHeight="1">
      <c r="A23" s="70" t="n">
        <v>16</v>
      </c>
      <c r="B23" s="71" t="inlineStr">
        <is>
          <t>Bel Collections</t>
        </is>
      </c>
      <c r="C23" s="70" t="inlineStr">
        <is>
          <t>B00015</t>
        </is>
      </c>
      <c r="D23" s="71" t="inlineStr">
        <is>
          <t>Hidden Leather</t>
        </is>
      </c>
      <c r="E23" s="70" t="n">
        <v>3</v>
      </c>
      <c r="F23" s="72">
        <f>SUM(I23:AP23)</f>
        <v/>
      </c>
      <c r="G23" s="72">
        <f>SUM(J23:AQ23)</f>
        <v/>
      </c>
      <c r="H23" s="73">
        <f>IFERROR(IF(G23&gt;0,F23/G23,"-"),"-")</f>
        <v/>
      </c>
      <c r="I23" s="74" t="n">
        <v>11</v>
      </c>
      <c r="J23" s="74">
        <f>IFERROR(IF(I23&gt;0,H23/I23,"-"),"-")</f>
        <v/>
      </c>
      <c r="K23" s="75" t="n">
        <v>2</v>
      </c>
      <c r="L23" s="74" t="n"/>
      <c r="M23" s="74">
        <f>IFERROR(IF(L23&gt;0,K23/L23,"-"),"-")</f>
        <v/>
      </c>
      <c r="N23" s="75" t="n">
        <v>1</v>
      </c>
      <c r="O23" s="74" t="n">
        <v>5</v>
      </c>
      <c r="P23" s="74">
        <f>IFERROR(IF(O23&gt;0,N23/O23,"-"),"-")</f>
        <v/>
      </c>
      <c r="Q23" s="75" t="n"/>
      <c r="R23" s="74" t="n">
        <v>10</v>
      </c>
      <c r="S23" s="74">
        <f>IFERROR(IF(R23&gt;0,Q23/R23,"-"),"-")</f>
        <v/>
      </c>
      <c r="T23" s="75" t="n">
        <v>1</v>
      </c>
      <c r="U23" s="74" t="n">
        <v>4</v>
      </c>
      <c r="V23" s="74">
        <f>IFERROR(IF(U23&gt;0,T23/U23,"-"),"-")</f>
        <v/>
      </c>
      <c r="W23" s="75" t="n">
        <v>1</v>
      </c>
      <c r="X23" s="74" t="n">
        <v>11</v>
      </c>
      <c r="Y23" s="74">
        <f>IFERROR(IF(X23&gt;0,W23/X23,"-"),"-")</f>
        <v/>
      </c>
      <c r="Z23" s="75" t="n">
        <v>2</v>
      </c>
      <c r="AA23" s="74" t="n">
        <v>23</v>
      </c>
      <c r="AB23" s="74">
        <f>IFERROR(IF(AA23&gt;0,Z23/AA23,"-"),"-")</f>
        <v/>
      </c>
      <c r="AC23" s="75" t="n">
        <v>1</v>
      </c>
      <c r="AD23" s="74" t="n">
        <v>19</v>
      </c>
      <c r="AE23" s="74">
        <f>IFERROR(IF(AD23&gt;0,AC23/AD23,"-"),"-")</f>
        <v/>
      </c>
      <c r="AF23" s="75" t="n"/>
      <c r="AG23" s="74" t="n"/>
      <c r="AH23" s="74">
        <f>IFERROR(IF(AG23&gt;0,AF23/AG23,"-"),"-")</f>
        <v/>
      </c>
      <c r="AI23" s="75" t="n">
        <v>2</v>
      </c>
      <c r="AJ23" s="74" t="n">
        <v>12</v>
      </c>
      <c r="AK23" s="74">
        <f>IFERROR(IF(AJ23&gt;0,AI23/AJ23,"-"),"-")</f>
        <v/>
      </c>
      <c r="AL23" s="75" t="n">
        <v>2</v>
      </c>
      <c r="AM23" s="74" t="n"/>
      <c r="AN23" s="74">
        <f>IFERROR(IF(AM23&gt;0,AL23/AM23,"-"),"-")</f>
        <v/>
      </c>
      <c r="AO23" s="75" t="n">
        <v>2</v>
      </c>
      <c r="AP23" s="74" t="n">
        <v>6</v>
      </c>
      <c r="AQ23" s="74">
        <f>IFERROR(IF(AP23&gt;0,AO23/AP23,"-"),"-")</f>
        <v/>
      </c>
      <c r="AR23" s="75" t="n">
        <v>3</v>
      </c>
      <c r="AS23" s="60" t="n"/>
      <c r="AT23" s="60" t="n"/>
    </row>
    <row r="24" ht="15" customHeight="1">
      <c r="A24" s="70" t="n">
        <v>17</v>
      </c>
      <c r="B24" s="71" t="inlineStr">
        <is>
          <t>Bel Collections</t>
        </is>
      </c>
      <c r="C24" s="70" t="inlineStr">
        <is>
          <t>B00016</t>
        </is>
      </c>
      <c r="D24" s="71" t="inlineStr">
        <is>
          <t>Mysterious Rose</t>
        </is>
      </c>
      <c r="E24" s="70" t="n">
        <v>4</v>
      </c>
      <c r="F24" s="72">
        <f>SUM(I24:AP24)</f>
        <v/>
      </c>
      <c r="G24" s="72">
        <f>SUM(J24:AQ24)</f>
        <v/>
      </c>
      <c r="H24" s="73">
        <f>IFERROR(IF(G24&gt;0,F24/G24,"-"),"-")</f>
        <v/>
      </c>
      <c r="I24" s="74" t="n">
        <v>4</v>
      </c>
      <c r="J24" s="74">
        <f>IFERROR(IF(I24&gt;0,H24/I24,"-"),"-")</f>
        <v/>
      </c>
      <c r="K24" s="75" t="n">
        <v>2</v>
      </c>
      <c r="L24" s="74" t="n">
        <v>15</v>
      </c>
      <c r="M24" s="74">
        <f>IFERROR(IF(L24&gt;0,K24/L24,"-"),"-")</f>
        <v/>
      </c>
      <c r="N24" s="75" t="n"/>
      <c r="O24" s="74" t="n">
        <v>1</v>
      </c>
      <c r="P24" s="74">
        <f>IFERROR(IF(O24&gt;0,N24/O24,"-"),"-")</f>
        <v/>
      </c>
      <c r="Q24" s="75" t="n">
        <v>1</v>
      </c>
      <c r="R24" s="74" t="n">
        <v>4</v>
      </c>
      <c r="S24" s="74">
        <f>IFERROR(IF(R24&gt;0,Q24/R24,"-"),"-")</f>
        <v/>
      </c>
      <c r="T24" s="75" t="n">
        <v>1</v>
      </c>
      <c r="U24" s="74" t="n">
        <v>8</v>
      </c>
      <c r="V24" s="74">
        <f>IFERROR(IF(U24&gt;0,T24/U24,"-"),"-")</f>
        <v/>
      </c>
      <c r="W24" s="75" t="n">
        <v>2</v>
      </c>
      <c r="X24" s="74" t="n">
        <v>21</v>
      </c>
      <c r="Y24" s="74">
        <f>IFERROR(IF(X24&gt;0,W24/X24,"-"),"-")</f>
        <v/>
      </c>
      <c r="Z24" s="75" t="n">
        <v>3</v>
      </c>
      <c r="AA24" s="74" t="n">
        <v>21</v>
      </c>
      <c r="AB24" s="74">
        <f>IFERROR(IF(AA24&gt;0,Z24/AA24,"-"),"-")</f>
        <v/>
      </c>
      <c r="AC24" s="75" t="n">
        <v>2</v>
      </c>
      <c r="AD24" s="74" t="n">
        <v>16</v>
      </c>
      <c r="AE24" s="74">
        <f>IFERROR(IF(AD24&gt;0,AC24/AD24,"-"),"-")</f>
        <v/>
      </c>
      <c r="AF24" s="75" t="n"/>
      <c r="AG24" s="74" t="n"/>
      <c r="AH24" s="74">
        <f>IFERROR(IF(AG24&gt;0,AF24/AG24,"-"),"-")</f>
        <v/>
      </c>
      <c r="AI24" s="75" t="n">
        <v>2</v>
      </c>
      <c r="AJ24" s="74" t="n">
        <v>16</v>
      </c>
      <c r="AK24" s="74">
        <f>IFERROR(IF(AJ24&gt;0,AI24/AJ24,"-"),"-")</f>
        <v/>
      </c>
      <c r="AL24" s="75" t="n">
        <v>1</v>
      </c>
      <c r="AM24" s="74" t="n">
        <v>3</v>
      </c>
      <c r="AN24" s="74">
        <f>IFERROR(IF(AM24&gt;0,AL24/AM24,"-"),"-")</f>
        <v/>
      </c>
      <c r="AO24" s="75" t="n">
        <v>2</v>
      </c>
      <c r="AP24" s="74" t="n">
        <v>9</v>
      </c>
      <c r="AQ24" s="74">
        <f>IFERROR(IF(AP24&gt;0,AO24/AP24,"-"),"-")</f>
        <v/>
      </c>
      <c r="AR24" s="75" t="n">
        <v>2</v>
      </c>
      <c r="AS24" s="60" t="n"/>
      <c r="AT24" s="60" t="n"/>
    </row>
    <row r="25" ht="15" customHeight="1">
      <c r="A25" s="70" t="n">
        <v>18</v>
      </c>
      <c r="B25" s="71" t="inlineStr">
        <is>
          <t>Bel Collections</t>
        </is>
      </c>
      <c r="C25" s="70" t="inlineStr">
        <is>
          <t>B00017</t>
        </is>
      </c>
      <c r="D25" s="71" t="inlineStr">
        <is>
          <t>Thekrayat</t>
        </is>
      </c>
      <c r="E25" s="70" t="n">
        <v>4</v>
      </c>
      <c r="F25" s="72">
        <f>SUM(I25:AP25)</f>
        <v/>
      </c>
      <c r="G25" s="72">
        <f>SUM(J25:AQ25)</f>
        <v/>
      </c>
      <c r="H25" s="73">
        <f>IFERROR(IF(G25&gt;0,F25/G25,"-"),"-")</f>
        <v/>
      </c>
      <c r="I25" s="74" t="n"/>
      <c r="J25" s="74">
        <f>IFERROR(IF(I25&gt;0,H25/I25,"-"),"-")</f>
        <v/>
      </c>
      <c r="K25" s="75" t="n">
        <v>2</v>
      </c>
      <c r="L25" s="74" t="n">
        <v>7</v>
      </c>
      <c r="M25" s="74">
        <f>IFERROR(IF(L25&gt;0,K25/L25,"-"),"-")</f>
        <v/>
      </c>
      <c r="N25" s="75" t="n">
        <v>3</v>
      </c>
      <c r="O25" s="74" t="n">
        <v>11</v>
      </c>
      <c r="P25" s="74">
        <f>IFERROR(IF(O25&gt;0,N25/O25,"-"),"-")</f>
        <v/>
      </c>
      <c r="Q25" s="75" t="n">
        <v>1</v>
      </c>
      <c r="R25" s="74" t="n"/>
      <c r="S25" s="74">
        <f>IFERROR(IF(R25&gt;0,Q25/R25,"-"),"-")</f>
        <v/>
      </c>
      <c r="T25" s="75" t="n">
        <v>1</v>
      </c>
      <c r="U25" s="74" t="n">
        <v>4</v>
      </c>
      <c r="V25" s="74">
        <f>IFERROR(IF(U25&gt;0,T25/U25,"-"),"-")</f>
        <v/>
      </c>
      <c r="W25" s="75" t="n">
        <v>6</v>
      </c>
      <c r="X25" s="74" t="n">
        <v>7</v>
      </c>
      <c r="Y25" s="74">
        <f>IFERROR(IF(X25&gt;0,W25/X25,"-"),"-")</f>
        <v/>
      </c>
      <c r="Z25" s="75" t="n">
        <v>8</v>
      </c>
      <c r="AA25" s="74" t="n">
        <v>12</v>
      </c>
      <c r="AB25" s="74">
        <f>IFERROR(IF(AA25&gt;0,Z25/AA25,"-"),"-")</f>
        <v/>
      </c>
      <c r="AC25" s="75" t="n">
        <v>3</v>
      </c>
      <c r="AD25" s="74" t="n"/>
      <c r="AE25" s="74">
        <f>IFERROR(IF(AD25&gt;0,AC25/AD25,"-"),"-")</f>
        <v/>
      </c>
      <c r="AF25" s="75" t="n"/>
      <c r="AG25" s="74" t="n"/>
      <c r="AH25" s="74">
        <f>IFERROR(IF(AG25&gt;0,AF25/AG25,"-"),"-")</f>
        <v/>
      </c>
      <c r="AI25" s="75" t="n">
        <v>4</v>
      </c>
      <c r="AJ25" s="74" t="n">
        <v>11</v>
      </c>
      <c r="AK25" s="74">
        <f>IFERROR(IF(AJ25&gt;0,AI25/AJ25,"-"),"-")</f>
        <v/>
      </c>
      <c r="AL25" s="75" t="n">
        <v>4</v>
      </c>
      <c r="AM25" s="74" t="n"/>
      <c r="AN25" s="74">
        <f>IFERROR(IF(AM25&gt;0,AL25/AM25,"-"),"-")</f>
        <v/>
      </c>
      <c r="AO25" s="75" t="n">
        <v>2</v>
      </c>
      <c r="AP25" s="74" t="n">
        <v>18</v>
      </c>
      <c r="AQ25" s="74">
        <f>IFERROR(IF(AP25&gt;0,AO25/AP25,"-"),"-")</f>
        <v/>
      </c>
      <c r="AR25" s="75" t="n">
        <v>5</v>
      </c>
      <c r="AS25" s="60" t="n"/>
      <c r="AT25" s="60" t="n"/>
    </row>
    <row r="26" ht="15" customHeight="1">
      <c r="A26" s="70" t="n">
        <v>19</v>
      </c>
      <c r="B26" s="71" t="inlineStr">
        <is>
          <t>Bel Collections</t>
        </is>
      </c>
      <c r="C26" s="70" t="inlineStr">
        <is>
          <t>B00018</t>
        </is>
      </c>
      <c r="D26" s="71" t="inlineStr">
        <is>
          <t>Hidden Tobacco</t>
        </is>
      </c>
      <c r="E26" s="70" t="n">
        <v>5</v>
      </c>
      <c r="F26" s="72">
        <f>SUM(I26:AP26)</f>
        <v/>
      </c>
      <c r="G26" s="72">
        <f>SUM(J26:AQ26)</f>
        <v/>
      </c>
      <c r="H26" s="73">
        <f>IFERROR(IF(G26&gt;0,F26/G26,"-"),"-")</f>
        <v/>
      </c>
      <c r="I26" s="74" t="n"/>
      <c r="J26" s="74">
        <f>IFERROR(IF(I26&gt;0,H26/I26,"-"),"-")</f>
        <v/>
      </c>
      <c r="K26" s="75" t="n">
        <v>9</v>
      </c>
      <c r="L26" s="74" t="n">
        <v>32</v>
      </c>
      <c r="M26" s="74">
        <f>IFERROR(IF(L26&gt;0,K26/L26,"-"),"-")</f>
        <v/>
      </c>
      <c r="N26" s="75" t="n">
        <v>5</v>
      </c>
      <c r="O26" s="74" t="n">
        <v>19</v>
      </c>
      <c r="P26" s="74">
        <f>IFERROR(IF(O26&gt;0,N26/O26,"-"),"-")</f>
        <v/>
      </c>
      <c r="Q26" s="75" t="n">
        <v>6</v>
      </c>
      <c r="R26" s="74" t="n"/>
      <c r="S26" s="74">
        <f>IFERROR(IF(R26&gt;0,Q26/R26,"-"),"-")</f>
        <v/>
      </c>
      <c r="T26" s="75" t="n">
        <v>5</v>
      </c>
      <c r="U26" s="74" t="n">
        <v>23</v>
      </c>
      <c r="V26" s="74">
        <f>IFERROR(IF(U26&gt;0,T26/U26,"-"),"-")</f>
        <v/>
      </c>
      <c r="W26" s="75" t="n">
        <v>10</v>
      </c>
      <c r="X26" s="74" t="n">
        <v>31</v>
      </c>
      <c r="Y26" s="74">
        <f>IFERROR(IF(X26&gt;0,W26/X26,"-"),"-")</f>
        <v/>
      </c>
      <c r="Z26" s="75" t="n">
        <v>13</v>
      </c>
      <c r="AA26" s="74" t="n">
        <v>30</v>
      </c>
      <c r="AB26" s="74">
        <f>IFERROR(IF(AA26&gt;0,Z26/AA26,"-"),"-")</f>
        <v/>
      </c>
      <c r="AC26" s="75" t="n">
        <v>11</v>
      </c>
      <c r="AD26" s="74" t="n"/>
      <c r="AE26" s="74">
        <f>IFERROR(IF(AD26&gt;0,AC26/AD26,"-"),"-")</f>
        <v/>
      </c>
      <c r="AF26" s="75" t="n"/>
      <c r="AG26" s="74" t="n"/>
      <c r="AH26" s="74">
        <f>IFERROR(IF(AG26&gt;0,AF26/AG26,"-"),"-")</f>
        <v/>
      </c>
      <c r="AI26" s="75" t="n">
        <v>7</v>
      </c>
      <c r="AJ26" s="74" t="n">
        <v>47</v>
      </c>
      <c r="AK26" s="74">
        <f>IFERROR(IF(AJ26&gt;0,AI26/AJ26,"-"),"-")</f>
        <v/>
      </c>
      <c r="AL26" s="75" t="n">
        <v>6</v>
      </c>
      <c r="AM26" s="74" t="n"/>
      <c r="AN26" s="74">
        <f>IFERROR(IF(AM26&gt;0,AL26/AM26,"-"),"-")</f>
        <v/>
      </c>
      <c r="AO26" s="75" t="n">
        <v>6</v>
      </c>
      <c r="AP26" s="74" t="n">
        <v>70</v>
      </c>
      <c r="AQ26" s="74">
        <f>IFERROR(IF(AP26&gt;0,AO26/AP26,"-"),"-")</f>
        <v/>
      </c>
      <c r="AR26" s="75" t="n">
        <v>8</v>
      </c>
      <c r="AS26" s="60" t="n"/>
      <c r="AT26" s="60" t="n"/>
    </row>
    <row r="27" ht="15" customHeight="1">
      <c r="A27" s="70" t="n">
        <v>20</v>
      </c>
      <c r="B27" s="71" t="inlineStr">
        <is>
          <t>Bel Collections</t>
        </is>
      </c>
      <c r="C27" s="70" t="inlineStr">
        <is>
          <t>B00019</t>
        </is>
      </c>
      <c r="D27" s="71" t="inlineStr">
        <is>
          <t>Masters Perfume 100ml</t>
        </is>
      </c>
      <c r="E27" s="70" t="n"/>
      <c r="F27" s="72">
        <f>SUM(I27:AP27)</f>
        <v/>
      </c>
      <c r="G27" s="72">
        <f>SUM(J27:AQ27)</f>
        <v/>
      </c>
      <c r="H27" s="73">
        <f>IFERROR(IF(G27&gt;0,F27/G27,"-"),"-")</f>
        <v/>
      </c>
      <c r="I27" s="74" t="n"/>
      <c r="J27" s="74">
        <f>IFERROR(IF(I27&gt;0,H27/I27,"-"),"-")</f>
        <v/>
      </c>
      <c r="K27" s="75" t="n"/>
      <c r="L27" s="74" t="n"/>
      <c r="M27" s="74">
        <f>IFERROR(IF(L27&gt;0,K27/L27,"-"),"-")</f>
        <v/>
      </c>
      <c r="N27" s="75" t="n"/>
      <c r="O27" s="74" t="n"/>
      <c r="P27" s="74">
        <f>IFERROR(IF(O27&gt;0,N27/O27,"-"),"-")</f>
        <v/>
      </c>
      <c r="Q27" s="75" t="n"/>
      <c r="R27" s="74" t="n"/>
      <c r="S27" s="74">
        <f>IFERROR(IF(R27&gt;0,Q27/R27,"-"),"-")</f>
        <v/>
      </c>
      <c r="T27" s="75" t="n"/>
      <c r="U27" s="74" t="n"/>
      <c r="V27" s="74">
        <f>IFERROR(IF(U27&gt;0,T27/U27,"-"),"-")</f>
        <v/>
      </c>
      <c r="W27" s="75" t="n">
        <v>1</v>
      </c>
      <c r="X27" s="74" t="n"/>
      <c r="Y27" s="74">
        <f>IFERROR(IF(X27&gt;0,W27/X27,"-"),"-")</f>
        <v/>
      </c>
      <c r="Z27" s="75" t="n"/>
      <c r="AA27" s="74" t="n"/>
      <c r="AB27" s="74">
        <f>IFERROR(IF(AA27&gt;0,Z27/AA27,"-"),"-")</f>
        <v/>
      </c>
      <c r="AC27" s="75" t="n"/>
      <c r="AD27" s="74" t="n"/>
      <c r="AE27" s="74">
        <f>IFERROR(IF(AD27&gt;0,AC27/AD27,"-"),"-")</f>
        <v/>
      </c>
      <c r="AF27" s="75" t="n"/>
      <c r="AG27" s="74" t="n"/>
      <c r="AH27" s="74">
        <f>IFERROR(IF(AG27&gt;0,AF27/AG27,"-"),"-")</f>
        <v/>
      </c>
      <c r="AI27" s="75" t="n"/>
      <c r="AJ27" s="74" t="n"/>
      <c r="AK27" s="74">
        <f>IFERROR(IF(AJ27&gt;0,AI27/AJ27,"-"),"-")</f>
        <v/>
      </c>
      <c r="AL27" s="75" t="n"/>
      <c r="AM27" s="74" t="n"/>
      <c r="AN27" s="74">
        <f>IFERROR(IF(AM27&gt;0,AL27/AM27,"-"),"-")</f>
        <v/>
      </c>
      <c r="AO27" s="75" t="n"/>
      <c r="AP27" s="74" t="n"/>
      <c r="AQ27" s="74">
        <f>IFERROR(IF(AP27&gt;0,AO27/AP27,"-"),"-")</f>
        <v/>
      </c>
      <c r="AR27" s="75" t="n"/>
      <c r="AS27" s="60" t="n"/>
      <c r="AT27" s="60" t="n"/>
    </row>
    <row r="28" ht="15" customHeight="1">
      <c r="A28" s="70" t="n">
        <v>21</v>
      </c>
      <c r="B28" s="71" t="inlineStr">
        <is>
          <t>Bel Collections</t>
        </is>
      </c>
      <c r="C28" s="70" t="inlineStr">
        <is>
          <t>B00020</t>
        </is>
      </c>
      <c r="D28" s="71" t="inlineStr">
        <is>
          <t>Masters Signature 100ml Perfume - Tester</t>
        </is>
      </c>
      <c r="E28" s="70" t="n">
        <v>3</v>
      </c>
      <c r="F28" s="72">
        <f>SUM(I28:AP28)</f>
        <v/>
      </c>
      <c r="G28" s="72">
        <f>SUM(J28:AQ28)</f>
        <v/>
      </c>
      <c r="H28" s="73">
        <f>IFERROR(IF(G28&gt;0,F28/G28,"-"),"-")</f>
        <v/>
      </c>
      <c r="I28" s="74" t="n">
        <v>3</v>
      </c>
      <c r="J28" s="74">
        <f>IFERROR(IF(I28&gt;0,H28/I28,"-"),"-")</f>
        <v/>
      </c>
      <c r="K28" s="75" t="n">
        <v>3</v>
      </c>
      <c r="L28" s="74" t="n">
        <v>17</v>
      </c>
      <c r="M28" s="74">
        <f>IFERROR(IF(L28&gt;0,K28/L28,"-"),"-")</f>
        <v/>
      </c>
      <c r="N28" s="75" t="n">
        <v>1</v>
      </c>
      <c r="O28" s="74" t="n">
        <v>2</v>
      </c>
      <c r="P28" s="74">
        <f>IFERROR(IF(O28&gt;0,N28/O28,"-"),"-")</f>
        <v/>
      </c>
      <c r="Q28" s="75" t="n">
        <v>2</v>
      </c>
      <c r="R28" s="74" t="n">
        <v>10</v>
      </c>
      <c r="S28" s="74">
        <f>IFERROR(IF(R28&gt;0,Q28/R28,"-"),"-")</f>
        <v/>
      </c>
      <c r="T28" s="75" t="n"/>
      <c r="U28" s="74" t="n">
        <v>9</v>
      </c>
      <c r="V28" s="74">
        <f>IFERROR(IF(U28&gt;0,T28/U28,"-"),"-")</f>
        <v/>
      </c>
      <c r="W28" s="75" t="n">
        <v>1</v>
      </c>
      <c r="X28" s="74" t="n">
        <v>7</v>
      </c>
      <c r="Y28" s="74">
        <f>IFERROR(IF(X28&gt;0,W28/X28,"-"),"-")</f>
        <v/>
      </c>
      <c r="Z28" s="75" t="n">
        <v>4</v>
      </c>
      <c r="AA28" s="74" t="n">
        <v>13</v>
      </c>
      <c r="AB28" s="74">
        <f>IFERROR(IF(AA28&gt;0,Z28/AA28,"-"),"-")</f>
        <v/>
      </c>
      <c r="AC28" s="75" t="n">
        <v>1</v>
      </c>
      <c r="AD28" s="74" t="n">
        <v>9</v>
      </c>
      <c r="AE28" s="74">
        <f>IFERROR(IF(AD28&gt;0,AC28/AD28,"-"),"-")</f>
        <v/>
      </c>
      <c r="AF28" s="75" t="n"/>
      <c r="AG28" s="74" t="n"/>
      <c r="AH28" s="74">
        <f>IFERROR(IF(AG28&gt;0,AF28/AG28,"-"),"-")</f>
        <v/>
      </c>
      <c r="AI28" s="75" t="n">
        <v>2</v>
      </c>
      <c r="AJ28" s="74" t="n">
        <v>8</v>
      </c>
      <c r="AK28" s="74">
        <f>IFERROR(IF(AJ28&gt;0,AI28/AJ28,"-"),"-")</f>
        <v/>
      </c>
      <c r="AL28" s="75" t="n">
        <v>1</v>
      </c>
      <c r="AM28" s="74" t="n">
        <v>8</v>
      </c>
      <c r="AN28" s="74">
        <f>IFERROR(IF(AM28&gt;0,AL28/AM28,"-"),"-")</f>
        <v/>
      </c>
      <c r="AO28" s="75" t="n">
        <v>2</v>
      </c>
      <c r="AP28" s="74" t="n">
        <v>5</v>
      </c>
      <c r="AQ28" s="74">
        <f>IFERROR(IF(AP28&gt;0,AO28/AP28,"-"),"-")</f>
        <v/>
      </c>
      <c r="AR28" s="75" t="n">
        <v>4</v>
      </c>
      <c r="AS28" s="60" t="n"/>
      <c r="AT28" s="60" t="n"/>
    </row>
    <row r="29" ht="15" customHeight="1">
      <c r="A29" s="70" t="n">
        <v>22</v>
      </c>
      <c r="B29" s="71" t="inlineStr">
        <is>
          <t>Bel Collections</t>
        </is>
      </c>
      <c r="C29" s="70" t="inlineStr">
        <is>
          <t>B00021</t>
        </is>
      </c>
      <c r="D29" s="71" t="inlineStr">
        <is>
          <t>Midnight Bloom 100 ML</t>
        </is>
      </c>
      <c r="E29" s="70" t="n">
        <v>3</v>
      </c>
      <c r="F29" s="72">
        <f>SUM(I29:AP29)</f>
        <v/>
      </c>
      <c r="G29" s="72">
        <f>SUM(J29:AQ29)</f>
        <v/>
      </c>
      <c r="H29" s="73">
        <f>IFERROR(IF(G29&gt;0,F29/G29,"-"),"-")</f>
        <v/>
      </c>
      <c r="I29" s="74" t="n">
        <v>2</v>
      </c>
      <c r="J29" s="74">
        <f>IFERROR(IF(I29&gt;0,H29/I29,"-"),"-")</f>
        <v/>
      </c>
      <c r="K29" s="75" t="n">
        <v>1</v>
      </c>
      <c r="L29" s="74" t="n"/>
      <c r="M29" s="74">
        <f>IFERROR(IF(L29&gt;0,K29/L29,"-"),"-")</f>
        <v/>
      </c>
      <c r="N29" s="75" t="n">
        <v>1</v>
      </c>
      <c r="O29" s="74" t="n">
        <v>2</v>
      </c>
      <c r="P29" s="74">
        <f>IFERROR(IF(O29&gt;0,N29/O29,"-"),"-")</f>
        <v/>
      </c>
      <c r="Q29" s="75" t="n">
        <v>1</v>
      </c>
      <c r="R29" s="74" t="n">
        <v>2</v>
      </c>
      <c r="S29" s="74">
        <f>IFERROR(IF(R29&gt;0,Q29/R29,"-"),"-")</f>
        <v/>
      </c>
      <c r="T29" s="75" t="n">
        <v>1</v>
      </c>
      <c r="U29" s="74" t="n">
        <v>4</v>
      </c>
      <c r="V29" s="74">
        <f>IFERROR(IF(U29&gt;0,T29/U29,"-"),"-")</f>
        <v/>
      </c>
      <c r="W29" s="75" t="n">
        <v>1</v>
      </c>
      <c r="X29" s="74" t="n">
        <v>7</v>
      </c>
      <c r="Y29" s="74">
        <f>IFERROR(IF(X29&gt;0,W29/X29,"-"),"-")</f>
        <v/>
      </c>
      <c r="Z29" s="75" t="n">
        <v>1</v>
      </c>
      <c r="AA29" s="74" t="n">
        <v>1</v>
      </c>
      <c r="AB29" s="74">
        <f>IFERROR(IF(AA29&gt;0,Z29/AA29,"-"),"-")</f>
        <v/>
      </c>
      <c r="AC29" s="75" t="n">
        <v>1</v>
      </c>
      <c r="AD29" s="74" t="n">
        <v>2</v>
      </c>
      <c r="AE29" s="74">
        <f>IFERROR(IF(AD29&gt;0,AC29/AD29,"-"),"-")</f>
        <v/>
      </c>
      <c r="AF29" s="75" t="n"/>
      <c r="AG29" s="74" t="n"/>
      <c r="AH29" s="74">
        <f>IFERROR(IF(AG29&gt;0,AF29/AG29,"-"),"-")</f>
        <v/>
      </c>
      <c r="AI29" s="75" t="n">
        <v>1</v>
      </c>
      <c r="AJ29" s="74" t="n">
        <v>6</v>
      </c>
      <c r="AK29" s="74">
        <f>IFERROR(IF(AJ29&gt;0,AI29/AJ29,"-"),"-")</f>
        <v/>
      </c>
      <c r="AL29" s="75" t="n"/>
      <c r="AM29" s="74" t="n">
        <v>3</v>
      </c>
      <c r="AN29" s="74">
        <f>IFERROR(IF(AM29&gt;0,AL29/AM29,"-"),"-")</f>
        <v/>
      </c>
      <c r="AO29" s="75" t="n"/>
      <c r="AP29" s="74" t="n">
        <v>1</v>
      </c>
      <c r="AQ29" s="74">
        <f>IFERROR(IF(AP29&gt;0,AO29/AP29,"-"),"-")</f>
        <v/>
      </c>
      <c r="AR29" s="75" t="n">
        <v>1</v>
      </c>
      <c r="AS29" s="60" t="n"/>
      <c r="AT29" s="60" t="n"/>
    </row>
    <row r="30" ht="15" customHeight="1">
      <c r="A30" s="76" t="inlineStr">
        <is>
          <t xml:space="preserve">  CABALLO COLLECTION</t>
        </is>
      </c>
      <c r="B30" s="77" t="n"/>
      <c r="C30" s="77" t="n"/>
      <c r="D30" s="77" t="n"/>
      <c r="E30" s="77" t="n">
        <v>1</v>
      </c>
      <c r="F30" s="72">
        <f>SUM(I30:AP30)</f>
        <v/>
      </c>
      <c r="G30" s="72">
        <f>SUM(J30:AQ30)</f>
        <v/>
      </c>
      <c r="H30" s="73">
        <f>IFERROR(IF(G30&gt;0,F30/G30,"-"),"-")</f>
        <v/>
      </c>
      <c r="I30" s="74" t="n"/>
      <c r="J30" s="74">
        <f>IFERROR(IF(I30&gt;0,H30/I30,"-"),"-")</f>
        <v/>
      </c>
      <c r="K30" s="75" t="n">
        <v>1</v>
      </c>
      <c r="L30" s="74" t="n"/>
      <c r="M30" s="74">
        <f>IFERROR(IF(L30&gt;0,K30/L30,"-"),"-")</f>
        <v/>
      </c>
      <c r="N30" s="75" t="n"/>
      <c r="O30" s="74" t="n">
        <v>1</v>
      </c>
      <c r="P30" s="74">
        <f>IFERROR(IF(O30&gt;0,N30/O30,"-"),"-")</f>
        <v/>
      </c>
      <c r="Q30" s="75" t="n"/>
      <c r="R30" s="74" t="n"/>
      <c r="S30" s="74">
        <f>IFERROR(IF(R30&gt;0,Q30/R30,"-"),"-")</f>
        <v/>
      </c>
      <c r="T30" s="75" t="n"/>
      <c r="U30" s="74" t="n">
        <v>5</v>
      </c>
      <c r="V30" s="74">
        <f>IFERROR(IF(U30&gt;0,T30/U30,"-"),"-")</f>
        <v/>
      </c>
      <c r="W30" s="75" t="n"/>
      <c r="X30" s="74" t="n">
        <v>1</v>
      </c>
      <c r="Y30" s="74">
        <f>IFERROR(IF(X30&gt;0,W30/X30,"-"),"-")</f>
        <v/>
      </c>
      <c r="Z30" s="75" t="n"/>
      <c r="AA30" s="74" t="n"/>
      <c r="AB30" s="74">
        <f>IFERROR(IF(AA30&gt;0,Z30/AA30,"-"),"-")</f>
        <v/>
      </c>
      <c r="AC30" s="75" t="n">
        <v>1</v>
      </c>
      <c r="AD30" s="74" t="n">
        <v>4</v>
      </c>
      <c r="AE30" s="74">
        <f>IFERROR(IF(AD30&gt;0,AC30/AD30,"-"),"-")</f>
        <v/>
      </c>
      <c r="AF30" s="75" t="n"/>
      <c r="AG30" s="74" t="n"/>
      <c r="AH30" s="74">
        <f>IFERROR(IF(AG30&gt;0,AF30/AG30,"-"),"-")</f>
        <v/>
      </c>
      <c r="AI30" s="75" t="n">
        <v>1</v>
      </c>
      <c r="AJ30" s="74" t="n">
        <v>1</v>
      </c>
      <c r="AK30" s="74">
        <f>IFERROR(IF(AJ30&gt;0,AI30/AJ30,"-"),"-")</f>
        <v/>
      </c>
      <c r="AL30" s="75" t="n"/>
      <c r="AM30" s="74" t="n"/>
      <c r="AN30" s="74">
        <f>IFERROR(IF(AM30&gt;0,AL30/AM30,"-"),"-")</f>
        <v/>
      </c>
      <c r="AO30" s="75" t="n"/>
      <c r="AP30" s="74" t="n"/>
      <c r="AQ30" s="74">
        <f>IFERROR(IF(AP30&gt;0,AO30/AP30,"-"),"-")</f>
        <v/>
      </c>
      <c r="AR30" s="75" t="n"/>
      <c r="AS30" s="59" t="n"/>
      <c r="AT30" s="59" t="n"/>
    </row>
    <row r="31" ht="15" customHeight="1">
      <c r="A31" s="70" t="n">
        <v>23</v>
      </c>
      <c r="B31" s="71" t="inlineStr">
        <is>
          <t>Caballo Collection</t>
        </is>
      </c>
      <c r="C31" s="70" t="inlineStr">
        <is>
          <t>C00004</t>
        </is>
      </c>
      <c r="D31" s="71" t="inlineStr">
        <is>
          <t>Maroon Perfume 100 ML</t>
        </is>
      </c>
      <c r="E31" s="70" t="n">
        <v>4</v>
      </c>
      <c r="F31" s="72">
        <f>SUM(I31:AP31)</f>
        <v/>
      </c>
      <c r="G31" s="72">
        <f>SUM(J31:AQ31)</f>
        <v/>
      </c>
      <c r="H31" s="73">
        <f>IFERROR(IF(G31&gt;0,F31/G31,"-"),"-")</f>
        <v/>
      </c>
      <c r="I31" s="74" t="n"/>
      <c r="J31" s="74">
        <f>IFERROR(IF(I31&gt;0,H31/I31,"-"),"-")</f>
        <v/>
      </c>
      <c r="K31" s="75" t="n">
        <v>2</v>
      </c>
      <c r="L31" s="74" t="n"/>
      <c r="M31" s="74">
        <f>IFERROR(IF(L31&gt;0,K31/L31,"-"),"-")</f>
        <v/>
      </c>
      <c r="N31" s="75" t="n">
        <v>1</v>
      </c>
      <c r="O31" s="74" t="n"/>
      <c r="P31" s="74">
        <f>IFERROR(IF(O31&gt;0,N31/O31,"-"),"-")</f>
        <v/>
      </c>
      <c r="Q31" s="75" t="n">
        <v>1</v>
      </c>
      <c r="R31" s="74" t="n"/>
      <c r="S31" s="74">
        <f>IFERROR(IF(R31&gt;0,Q31/R31,"-"),"-")</f>
        <v/>
      </c>
      <c r="T31" s="75" t="n">
        <v>1</v>
      </c>
      <c r="U31" s="74" t="n"/>
      <c r="V31" s="74">
        <f>IFERROR(IF(U31&gt;0,T31/U31,"-"),"-")</f>
        <v/>
      </c>
      <c r="W31" s="75" t="n">
        <v>1</v>
      </c>
      <c r="X31" s="74" t="n"/>
      <c r="Y31" s="74">
        <f>IFERROR(IF(X31&gt;0,W31/X31,"-"),"-")</f>
        <v/>
      </c>
      <c r="Z31" s="75" t="n"/>
      <c r="AA31" s="74" t="n"/>
      <c r="AB31" s="74">
        <f>IFERROR(IF(AA31&gt;0,Z31/AA31,"-"),"-")</f>
        <v/>
      </c>
      <c r="AC31" s="75" t="n">
        <v>1</v>
      </c>
      <c r="AD31" s="74" t="n"/>
      <c r="AE31" s="74">
        <f>IFERROR(IF(AD31&gt;0,AC31/AD31,"-"),"-")</f>
        <v/>
      </c>
      <c r="AF31" s="75" t="n"/>
      <c r="AG31" s="74" t="n"/>
      <c r="AH31" s="74">
        <f>IFERROR(IF(AG31&gt;0,AF31/AG31,"-"),"-")</f>
        <v/>
      </c>
      <c r="AI31" s="75" t="n">
        <v>2</v>
      </c>
      <c r="AJ31" s="74" t="n"/>
      <c r="AK31" s="74">
        <f>IFERROR(IF(AJ31&gt;0,AI31/AJ31,"-"),"-")</f>
        <v/>
      </c>
      <c r="AL31" s="75" t="n"/>
      <c r="AM31" s="74" t="n"/>
      <c r="AN31" s="74">
        <f>IFERROR(IF(AM31&gt;0,AL31/AM31,"-"),"-")</f>
        <v/>
      </c>
      <c r="AO31" s="75" t="n"/>
      <c r="AP31" s="74" t="n"/>
      <c r="AQ31" s="74">
        <f>IFERROR(IF(AP31&gt;0,AO31/AP31,"-"),"-")</f>
        <v/>
      </c>
      <c r="AR31" s="75" t="n"/>
      <c r="AS31" s="60" t="n"/>
      <c r="AT31" s="60" t="n"/>
    </row>
    <row r="32" ht="15" customHeight="1">
      <c r="A32" s="70" t="n">
        <v>24</v>
      </c>
      <c r="B32" s="71" t="inlineStr">
        <is>
          <t>Caballo Collection</t>
        </is>
      </c>
      <c r="C32" s="70" t="inlineStr">
        <is>
          <t>C00010</t>
        </is>
      </c>
      <c r="D32" s="71" t="inlineStr">
        <is>
          <t>Maroon Intense</t>
        </is>
      </c>
      <c r="E32" s="70" t="n">
        <v>3</v>
      </c>
      <c r="F32" s="72">
        <f>SUM(I32:AP32)</f>
        <v/>
      </c>
      <c r="G32" s="72">
        <f>SUM(J32:AQ32)</f>
        <v/>
      </c>
      <c r="H32" s="73">
        <f>IFERROR(IF(G32&gt;0,F32/G32,"-"),"-")</f>
        <v/>
      </c>
      <c r="I32" s="74" t="n">
        <v>1</v>
      </c>
      <c r="J32" s="74">
        <f>IFERROR(IF(I32&gt;0,H32/I32,"-"),"-")</f>
        <v/>
      </c>
      <c r="K32" s="75" t="n">
        <v>4</v>
      </c>
      <c r="L32" s="74" t="n">
        <v>5</v>
      </c>
      <c r="M32" s="74">
        <f>IFERROR(IF(L32&gt;0,K32/L32,"-"),"-")</f>
        <v/>
      </c>
      <c r="N32" s="75" t="n"/>
      <c r="O32" s="74" t="n">
        <v>3</v>
      </c>
      <c r="P32" s="74">
        <f>IFERROR(IF(O32&gt;0,N32/O32,"-"),"-")</f>
        <v/>
      </c>
      <c r="Q32" s="75" t="n">
        <v>1</v>
      </c>
      <c r="R32" s="74" t="n">
        <v>7</v>
      </c>
      <c r="S32" s="74">
        <f>IFERROR(IF(R32&gt;0,Q32/R32,"-"),"-")</f>
        <v/>
      </c>
      <c r="T32" s="75" t="n">
        <v>1</v>
      </c>
      <c r="U32" s="74" t="n">
        <v>2</v>
      </c>
      <c r="V32" s="74">
        <f>IFERROR(IF(U32&gt;0,T32/U32,"-"),"-")</f>
        <v/>
      </c>
      <c r="W32" s="75" t="n">
        <v>4</v>
      </c>
      <c r="X32" s="74" t="n">
        <v>1</v>
      </c>
      <c r="Y32" s="74">
        <f>IFERROR(IF(X32&gt;0,W32/X32,"-"),"-")</f>
        <v/>
      </c>
      <c r="Z32" s="75" t="n">
        <v>2</v>
      </c>
      <c r="AA32" s="74" t="n">
        <v>4</v>
      </c>
      <c r="AB32" s="74">
        <f>IFERROR(IF(AA32&gt;0,Z32/AA32,"-"),"-")</f>
        <v/>
      </c>
      <c r="AC32" s="75" t="n">
        <v>2</v>
      </c>
      <c r="AD32" s="74" t="n">
        <v>13</v>
      </c>
      <c r="AE32" s="74">
        <f>IFERROR(IF(AD32&gt;0,AC32/AD32,"-"),"-")</f>
        <v/>
      </c>
      <c r="AF32" s="75" t="n"/>
      <c r="AG32" s="74" t="n"/>
      <c r="AH32" s="74">
        <f>IFERROR(IF(AG32&gt;0,AF32/AG32,"-"),"-")</f>
        <v/>
      </c>
      <c r="AI32" s="75" t="n">
        <v>2</v>
      </c>
      <c r="AJ32" s="74" t="n">
        <v>7</v>
      </c>
      <c r="AK32" s="74">
        <f>IFERROR(IF(AJ32&gt;0,AI32/AJ32,"-"),"-")</f>
        <v/>
      </c>
      <c r="AL32" s="75" t="n">
        <v>2</v>
      </c>
      <c r="AM32" s="74" t="n">
        <v>2</v>
      </c>
      <c r="AN32" s="74">
        <f>IFERROR(IF(AM32&gt;0,AL32/AM32,"-"),"-")</f>
        <v/>
      </c>
      <c r="AO32" s="75" t="n">
        <v>2</v>
      </c>
      <c r="AP32" s="74" t="n">
        <v>5</v>
      </c>
      <c r="AQ32" s="74">
        <f>IFERROR(IF(AP32&gt;0,AO32/AP32,"-"),"-")</f>
        <v/>
      </c>
      <c r="AR32" s="75" t="n">
        <v>4</v>
      </c>
      <c r="AS32" s="60" t="n"/>
      <c r="AT32" s="60" t="n"/>
    </row>
    <row r="33" ht="15" customHeight="1">
      <c r="A33" s="70" t="n">
        <v>25</v>
      </c>
      <c r="B33" s="71" t="inlineStr">
        <is>
          <t>Caballo Collection</t>
        </is>
      </c>
      <c r="C33" s="70" t="inlineStr">
        <is>
          <t>C00011</t>
        </is>
      </c>
      <c r="D33" s="71" t="inlineStr">
        <is>
          <t>Violet Perfume 100ml</t>
        </is>
      </c>
      <c r="E33" s="70" t="n">
        <v>1</v>
      </c>
      <c r="F33" s="72">
        <f>SUM(I33:AP33)</f>
        <v/>
      </c>
      <c r="G33" s="72">
        <f>SUM(J33:AQ33)</f>
        <v/>
      </c>
      <c r="H33" s="73">
        <f>IFERROR(IF(G33&gt;0,F33/G33,"-"),"-")</f>
        <v/>
      </c>
      <c r="I33" s="74" t="n"/>
      <c r="J33" s="74">
        <f>IFERROR(IF(I33&gt;0,H33/I33,"-"),"-")</f>
        <v/>
      </c>
      <c r="K33" s="75" t="n"/>
      <c r="L33" s="74" t="n"/>
      <c r="M33" s="74">
        <f>IFERROR(IF(L33&gt;0,K33/L33,"-"),"-")</f>
        <v/>
      </c>
      <c r="N33" s="75" t="n"/>
      <c r="O33" s="74" t="n"/>
      <c r="P33" s="74">
        <f>IFERROR(IF(O33&gt;0,N33/O33,"-"),"-")</f>
        <v/>
      </c>
      <c r="Q33" s="75" t="n"/>
      <c r="R33" s="74" t="n"/>
      <c r="S33" s="74">
        <f>IFERROR(IF(R33&gt;0,Q33/R33,"-"),"-")</f>
        <v/>
      </c>
      <c r="T33" s="75" t="n"/>
      <c r="U33" s="74" t="n"/>
      <c r="V33" s="74">
        <f>IFERROR(IF(U33&gt;0,T33/U33,"-"),"-")</f>
        <v/>
      </c>
      <c r="W33" s="75" t="n"/>
      <c r="X33" s="74" t="n">
        <v>1</v>
      </c>
      <c r="Y33" s="74">
        <f>IFERROR(IF(X33&gt;0,W33/X33,"-"),"-")</f>
        <v/>
      </c>
      <c r="Z33" s="75" t="n"/>
      <c r="AA33" s="74" t="n">
        <v>1</v>
      </c>
      <c r="AB33" s="74">
        <f>IFERROR(IF(AA33&gt;0,Z33/AA33,"-"),"-")</f>
        <v/>
      </c>
      <c r="AC33" s="75" t="n"/>
      <c r="AD33" s="74" t="n"/>
      <c r="AE33" s="74">
        <f>IFERROR(IF(AD33&gt;0,AC33/AD33,"-"),"-")</f>
        <v/>
      </c>
      <c r="AF33" s="75" t="n"/>
      <c r="AG33" s="74" t="n"/>
      <c r="AH33" s="74">
        <f>IFERROR(IF(AG33&gt;0,AF33/AG33,"-"),"-")</f>
        <v/>
      </c>
      <c r="AI33" s="75" t="n"/>
      <c r="AJ33" s="74" t="n"/>
      <c r="AK33" s="74">
        <f>IFERROR(IF(AJ33&gt;0,AI33/AJ33,"-"),"-")</f>
        <v/>
      </c>
      <c r="AL33" s="75" t="n"/>
      <c r="AM33" s="74" t="n"/>
      <c r="AN33" s="74">
        <f>IFERROR(IF(AM33&gt;0,AL33/AM33,"-"),"-")</f>
        <v/>
      </c>
      <c r="AO33" s="75" t="n"/>
      <c r="AP33" s="74" t="n">
        <v>1</v>
      </c>
      <c r="AQ33" s="74">
        <f>IFERROR(IF(AP33&gt;0,AO33/AP33,"-"),"-")</f>
        <v/>
      </c>
      <c r="AR33" s="75" t="n"/>
      <c r="AS33" s="60" t="n"/>
      <c r="AT33" s="60" t="n"/>
    </row>
    <row r="34" ht="15" customHeight="1">
      <c r="A34" s="70" t="n">
        <v>26</v>
      </c>
      <c r="B34" s="71" t="inlineStr">
        <is>
          <t>Caballo Collection</t>
        </is>
      </c>
      <c r="C34" s="70" t="inlineStr">
        <is>
          <t>C00012</t>
        </is>
      </c>
      <c r="D34" s="71" t="inlineStr">
        <is>
          <t>Navy Perfume 100ml</t>
        </is>
      </c>
      <c r="E34" s="70" t="n">
        <v>2</v>
      </c>
      <c r="F34" s="72">
        <f>SUM(I34:AP34)</f>
        <v/>
      </c>
      <c r="G34" s="72">
        <f>SUM(J34:AQ34)</f>
        <v/>
      </c>
      <c r="H34" s="73">
        <f>IFERROR(IF(G34&gt;0,F34/G34,"-"),"-")</f>
        <v/>
      </c>
      <c r="I34" s="74" t="n">
        <v>2</v>
      </c>
      <c r="J34" s="74">
        <f>IFERROR(IF(I34&gt;0,H34/I34,"-"),"-")</f>
        <v/>
      </c>
      <c r="K34" s="75" t="n"/>
      <c r="L34" s="74" t="n"/>
      <c r="M34" s="74">
        <f>IFERROR(IF(L34&gt;0,K34/L34,"-"),"-")</f>
        <v/>
      </c>
      <c r="N34" s="75" t="n">
        <v>1</v>
      </c>
      <c r="O34" s="74" t="n"/>
      <c r="P34" s="74">
        <f>IFERROR(IF(O34&gt;0,N34/O34,"-"),"-")</f>
        <v/>
      </c>
      <c r="Q34" s="75" t="n">
        <v>2</v>
      </c>
      <c r="R34" s="74" t="n">
        <v>3</v>
      </c>
      <c r="S34" s="74">
        <f>IFERROR(IF(R34&gt;0,Q34/R34,"-"),"-")</f>
        <v/>
      </c>
      <c r="T34" s="75" t="n">
        <v>1</v>
      </c>
      <c r="U34" s="74" t="n">
        <v>4</v>
      </c>
      <c r="V34" s="74">
        <f>IFERROR(IF(U34&gt;0,T34/U34,"-"),"-")</f>
        <v/>
      </c>
      <c r="W34" s="75" t="n">
        <v>1</v>
      </c>
      <c r="X34" s="74" t="n">
        <v>4</v>
      </c>
      <c r="Y34" s="74">
        <f>IFERROR(IF(X34&gt;0,W34/X34,"-"),"-")</f>
        <v/>
      </c>
      <c r="Z34" s="75" t="n">
        <v>1</v>
      </c>
      <c r="AA34" s="74" t="n">
        <v>4</v>
      </c>
      <c r="AB34" s="74">
        <f>IFERROR(IF(AA34&gt;0,Z34/AA34,"-"),"-")</f>
        <v/>
      </c>
      <c r="AC34" s="75" t="n">
        <v>1</v>
      </c>
      <c r="AD34" s="74" t="n">
        <v>4</v>
      </c>
      <c r="AE34" s="74">
        <f>IFERROR(IF(AD34&gt;0,AC34/AD34,"-"),"-")</f>
        <v/>
      </c>
      <c r="AF34" s="75" t="n"/>
      <c r="AG34" s="74" t="n"/>
      <c r="AH34" s="74">
        <f>IFERROR(IF(AG34&gt;0,AF34/AG34,"-"),"-")</f>
        <v/>
      </c>
      <c r="AI34" s="75" t="n">
        <v>1</v>
      </c>
      <c r="AJ34" s="74" t="n">
        <v>4</v>
      </c>
      <c r="AK34" s="74">
        <f>IFERROR(IF(AJ34&gt;0,AI34/AJ34,"-"),"-")</f>
        <v/>
      </c>
      <c r="AL34" s="75" t="n">
        <v>1</v>
      </c>
      <c r="AM34" s="74" t="n">
        <v>3</v>
      </c>
      <c r="AN34" s="74">
        <f>IFERROR(IF(AM34&gt;0,AL34/AM34,"-"),"-")</f>
        <v/>
      </c>
      <c r="AO34" s="75" t="n">
        <v>2</v>
      </c>
      <c r="AP34" s="74" t="n"/>
      <c r="AQ34" s="74">
        <f>IFERROR(IF(AP34&gt;0,AO34/AP34,"-"),"-")</f>
        <v/>
      </c>
      <c r="AR34" s="75" t="n">
        <v>1</v>
      </c>
      <c r="AS34" s="60" t="n"/>
      <c r="AT34" s="60" t="n"/>
    </row>
    <row r="35" ht="15" customHeight="1">
      <c r="A35" s="70" t="n">
        <v>27</v>
      </c>
      <c r="B35" s="71" t="inlineStr">
        <is>
          <t>Caballo Collection</t>
        </is>
      </c>
      <c r="C35" s="70" t="inlineStr">
        <is>
          <t>C00013</t>
        </is>
      </c>
      <c r="D35" s="71" t="inlineStr">
        <is>
          <t>White Overdose Perfume 100ml</t>
        </is>
      </c>
      <c r="E35" s="70" t="n">
        <v>3</v>
      </c>
      <c r="F35" s="72">
        <f>SUM(I35:AP35)</f>
        <v/>
      </c>
      <c r="G35" s="72">
        <f>SUM(J35:AQ35)</f>
        <v/>
      </c>
      <c r="H35" s="73">
        <f>IFERROR(IF(G35&gt;0,F35/G35,"-"),"-")</f>
        <v/>
      </c>
      <c r="I35" s="74" t="n">
        <v>12</v>
      </c>
      <c r="J35" s="74">
        <f>IFERROR(IF(I35&gt;0,H35/I35,"-"),"-")</f>
        <v/>
      </c>
      <c r="K35" s="75" t="n">
        <v>4</v>
      </c>
      <c r="L35" s="74" t="n">
        <v>11</v>
      </c>
      <c r="M35" s="74">
        <f>IFERROR(IF(L35&gt;0,K35/L35,"-"),"-")</f>
        <v/>
      </c>
      <c r="N35" s="75" t="n">
        <v>3</v>
      </c>
      <c r="O35" s="74" t="n">
        <v>7</v>
      </c>
      <c r="P35" s="74">
        <f>IFERROR(IF(O35&gt;0,N35/O35,"-"),"-")</f>
        <v/>
      </c>
      <c r="Q35" s="75" t="n">
        <v>2</v>
      </c>
      <c r="R35" s="74" t="n">
        <v>13</v>
      </c>
      <c r="S35" s="74">
        <f>IFERROR(IF(R35&gt;0,Q35/R35,"-"),"-")</f>
        <v/>
      </c>
      <c r="T35" s="75" t="n">
        <v>5</v>
      </c>
      <c r="U35" s="74" t="n">
        <v>17</v>
      </c>
      <c r="V35" s="74">
        <f>IFERROR(IF(U35&gt;0,T35/U35,"-"),"-")</f>
        <v/>
      </c>
      <c r="W35" s="75" t="n">
        <v>3</v>
      </c>
      <c r="X35" s="74" t="n">
        <v>12</v>
      </c>
      <c r="Y35" s="74">
        <f>IFERROR(IF(X35&gt;0,W35/X35,"-"),"-")</f>
        <v/>
      </c>
      <c r="Z35" s="75" t="n">
        <v>3</v>
      </c>
      <c r="AA35" s="74" t="n">
        <v>20</v>
      </c>
      <c r="AB35" s="74">
        <f>IFERROR(IF(AA35&gt;0,Z35/AA35,"-"),"-")</f>
        <v/>
      </c>
      <c r="AC35" s="75" t="n">
        <v>1</v>
      </c>
      <c r="AD35" s="74" t="n">
        <v>20</v>
      </c>
      <c r="AE35" s="74">
        <f>IFERROR(IF(AD35&gt;0,AC35/AD35,"-"),"-")</f>
        <v/>
      </c>
      <c r="AF35" s="75" t="n"/>
      <c r="AG35" s="74" t="n"/>
      <c r="AH35" s="74">
        <f>IFERROR(IF(AG35&gt;0,AF35/AG35,"-"),"-")</f>
        <v/>
      </c>
      <c r="AI35" s="75" t="n">
        <v>3</v>
      </c>
      <c r="AJ35" s="74" t="n">
        <v>16</v>
      </c>
      <c r="AK35" s="74">
        <f>IFERROR(IF(AJ35&gt;0,AI35/AJ35,"-"),"-")</f>
        <v/>
      </c>
      <c r="AL35" s="75" t="n">
        <v>4</v>
      </c>
      <c r="AM35" s="74" t="n">
        <v>14</v>
      </c>
      <c r="AN35" s="74">
        <f>IFERROR(IF(AM35&gt;0,AL35/AM35,"-"),"-")</f>
        <v/>
      </c>
      <c r="AO35" s="75" t="n">
        <v>2</v>
      </c>
      <c r="AP35" s="74" t="n">
        <v>13</v>
      </c>
      <c r="AQ35" s="74">
        <f>IFERROR(IF(AP35&gt;0,AO35/AP35,"-"),"-")</f>
        <v/>
      </c>
      <c r="AR35" s="75" t="n">
        <v>2</v>
      </c>
      <c r="AS35" s="60" t="n"/>
      <c r="AT35" s="60" t="n"/>
    </row>
    <row r="36" ht="15" customHeight="1">
      <c r="A36" s="70" t="n">
        <v>28</v>
      </c>
      <c r="B36" s="71" t="inlineStr">
        <is>
          <t>Caballo Collection</t>
        </is>
      </c>
      <c r="C36" s="70" t="inlineStr">
        <is>
          <t>C00014</t>
        </is>
      </c>
      <c r="D36" s="71" t="inlineStr">
        <is>
          <t>Black Perfume 100ml</t>
        </is>
      </c>
      <c r="E36" s="70" t="n">
        <v>2</v>
      </c>
      <c r="F36" s="72">
        <f>SUM(I36:AP36)</f>
        <v/>
      </c>
      <c r="G36" s="72">
        <f>SUM(J36:AQ36)</f>
        <v/>
      </c>
      <c r="H36" s="73">
        <f>IFERROR(IF(G36&gt;0,F36/G36,"-"),"-")</f>
        <v/>
      </c>
      <c r="I36" s="74" t="n">
        <v>3</v>
      </c>
      <c r="J36" s="74">
        <f>IFERROR(IF(I36&gt;0,H36/I36,"-"),"-")</f>
        <v/>
      </c>
      <c r="K36" s="75" t="n"/>
      <c r="L36" s="74" t="n"/>
      <c r="M36" s="74">
        <f>IFERROR(IF(L36&gt;0,K36/L36,"-"),"-")</f>
        <v/>
      </c>
      <c r="N36" s="75" t="n">
        <v>1</v>
      </c>
      <c r="O36" s="74" t="n">
        <v>1</v>
      </c>
      <c r="P36" s="74">
        <f>IFERROR(IF(O36&gt;0,N36/O36,"-"),"-")</f>
        <v/>
      </c>
      <c r="Q36" s="75" t="n">
        <v>1</v>
      </c>
      <c r="R36" s="74" t="n"/>
      <c r="S36" s="74">
        <f>IFERROR(IF(R36&gt;0,Q36/R36,"-"),"-")</f>
        <v/>
      </c>
      <c r="T36" s="75" t="n"/>
      <c r="U36" s="74" t="n">
        <v>1</v>
      </c>
      <c r="V36" s="74">
        <f>IFERROR(IF(U36&gt;0,T36/U36,"-"),"-")</f>
        <v/>
      </c>
      <c r="W36" s="75" t="n"/>
      <c r="X36" s="74" t="n">
        <v>1</v>
      </c>
      <c r="Y36" s="74">
        <f>IFERROR(IF(X36&gt;0,W36/X36,"-"),"-")</f>
        <v/>
      </c>
      <c r="Z36" s="75" t="n"/>
      <c r="AA36" s="74" t="n">
        <v>1</v>
      </c>
      <c r="AB36" s="74">
        <f>IFERROR(IF(AA36&gt;0,Z36/AA36,"-"),"-")</f>
        <v/>
      </c>
      <c r="AC36" s="75" t="n"/>
      <c r="AD36" s="74" t="n">
        <v>1</v>
      </c>
      <c r="AE36" s="74">
        <f>IFERROR(IF(AD36&gt;0,AC36/AD36,"-"),"-")</f>
        <v/>
      </c>
      <c r="AF36" s="75" t="n"/>
      <c r="AG36" s="74" t="n"/>
      <c r="AH36" s="74">
        <f>IFERROR(IF(AG36&gt;0,AF36/AG36,"-"),"-")</f>
        <v/>
      </c>
      <c r="AI36" s="75" t="n"/>
      <c r="AJ36" s="74" t="n"/>
      <c r="AK36" s="74">
        <f>IFERROR(IF(AJ36&gt;0,AI36/AJ36,"-"),"-")</f>
        <v/>
      </c>
      <c r="AL36" s="75" t="n">
        <v>1</v>
      </c>
      <c r="AM36" s="74" t="n">
        <v>1</v>
      </c>
      <c r="AN36" s="74">
        <f>IFERROR(IF(AM36&gt;0,AL36/AM36,"-"),"-")</f>
        <v/>
      </c>
      <c r="AO36" s="75" t="n">
        <v>1</v>
      </c>
      <c r="AP36" s="74" t="n">
        <v>1</v>
      </c>
      <c r="AQ36" s="74">
        <f>IFERROR(IF(AP36&gt;0,AO36/AP36,"-"),"-")</f>
        <v/>
      </c>
      <c r="AR36" s="75" t="n"/>
      <c r="AS36" s="60" t="n"/>
      <c r="AT36" s="60" t="n"/>
    </row>
    <row r="37" ht="15" customHeight="1">
      <c r="A37" s="76" t="inlineStr">
        <is>
          <t xml:space="preserve">  DAKHOON COLLECTION</t>
        </is>
      </c>
      <c r="B37" s="77" t="n"/>
      <c r="C37" s="77" t="n"/>
      <c r="D37" s="77" t="n"/>
      <c r="E37" s="77" t="n">
        <v>3</v>
      </c>
      <c r="F37" s="72">
        <f>SUM(I37:AP37)</f>
        <v/>
      </c>
      <c r="G37" s="72">
        <f>SUM(J37:AQ37)</f>
        <v/>
      </c>
      <c r="H37" s="73">
        <f>IFERROR(IF(G37&gt;0,F37/G37,"-"),"-")</f>
        <v/>
      </c>
      <c r="I37" s="74" t="n">
        <v>3</v>
      </c>
      <c r="J37" s="74">
        <f>IFERROR(IF(I37&gt;0,H37/I37,"-"),"-")</f>
        <v/>
      </c>
      <c r="K37" s="75" t="n"/>
      <c r="L37" s="74" t="n">
        <v>3</v>
      </c>
      <c r="M37" s="74">
        <f>IFERROR(IF(L37&gt;0,K37/L37,"-"),"-")</f>
        <v/>
      </c>
      <c r="N37" s="75" t="n">
        <v>1</v>
      </c>
      <c r="O37" s="74" t="n">
        <v>1</v>
      </c>
      <c r="P37" s="74">
        <f>IFERROR(IF(O37&gt;0,N37/O37,"-"),"-")</f>
        <v/>
      </c>
      <c r="Q37" s="75" t="n"/>
      <c r="R37" s="74" t="n">
        <v>2</v>
      </c>
      <c r="S37" s="74">
        <f>IFERROR(IF(R37&gt;0,Q37/R37,"-"),"-")</f>
        <v/>
      </c>
      <c r="T37" s="75" t="n"/>
      <c r="U37" s="74" t="n">
        <v>3</v>
      </c>
      <c r="V37" s="74">
        <f>IFERROR(IF(U37&gt;0,T37/U37,"-"),"-")</f>
        <v/>
      </c>
      <c r="W37" s="75" t="n"/>
      <c r="X37" s="74" t="n">
        <v>5</v>
      </c>
      <c r="Y37" s="74">
        <f>IFERROR(IF(X37&gt;0,W37/X37,"-"),"-")</f>
        <v/>
      </c>
      <c r="Z37" s="75" t="n">
        <v>1</v>
      </c>
      <c r="AA37" s="74" t="n">
        <v>1</v>
      </c>
      <c r="AB37" s="74">
        <f>IFERROR(IF(AA37&gt;0,Z37/AA37,"-"),"-")</f>
        <v/>
      </c>
      <c r="AC37" s="75" t="n">
        <v>1</v>
      </c>
      <c r="AD37" s="74" t="n">
        <v>4</v>
      </c>
      <c r="AE37" s="74">
        <f>IFERROR(IF(AD37&gt;0,AC37/AD37,"-"),"-")</f>
        <v/>
      </c>
      <c r="AF37" s="75" t="n"/>
      <c r="AG37" s="74" t="n"/>
      <c r="AH37" s="74">
        <f>IFERROR(IF(AG37&gt;0,AF37/AG37,"-"),"-")</f>
        <v/>
      </c>
      <c r="AI37" s="75" t="n"/>
      <c r="AJ37" s="74" t="n">
        <v>3</v>
      </c>
      <c r="AK37" s="74">
        <f>IFERROR(IF(AJ37&gt;0,AI37/AJ37,"-"),"-")</f>
        <v/>
      </c>
      <c r="AL37" s="75" t="n"/>
      <c r="AM37" s="74" t="n"/>
      <c r="AN37" s="74">
        <f>IFERROR(IF(AM37&gt;0,AL37/AM37,"-"),"-")</f>
        <v/>
      </c>
      <c r="AO37" s="75" t="n">
        <v>1</v>
      </c>
      <c r="AP37" s="74" t="n">
        <v>4</v>
      </c>
      <c r="AQ37" s="74">
        <f>IFERROR(IF(AP37&gt;0,AO37/AP37,"-"),"-")</f>
        <v/>
      </c>
      <c r="AR37" s="75" t="n">
        <v>1</v>
      </c>
      <c r="AS37" s="59" t="n"/>
      <c r="AT37" s="59" t="n"/>
    </row>
    <row r="38" ht="15" customHeight="1">
      <c r="A38" s="70" t="n">
        <v>29</v>
      </c>
      <c r="B38" s="71" t="inlineStr">
        <is>
          <t>Dakhoon Collection</t>
        </is>
      </c>
      <c r="C38" s="70" t="inlineStr">
        <is>
          <t>D00001</t>
        </is>
      </c>
      <c r="D38" s="71" t="inlineStr">
        <is>
          <t>Dakhoon Al Emarat</t>
        </is>
      </c>
      <c r="E38" s="70" t="n">
        <v>4</v>
      </c>
      <c r="F38" s="72">
        <f>SUM(I38:AP38)</f>
        <v/>
      </c>
      <c r="G38" s="72">
        <f>SUM(J38:AQ38)</f>
        <v/>
      </c>
      <c r="H38" s="73">
        <f>IFERROR(IF(G38&gt;0,F38/G38,"-"),"-")</f>
        <v/>
      </c>
      <c r="I38" s="74" t="n"/>
      <c r="J38" s="74">
        <f>IFERROR(IF(I38&gt;0,H38/I38,"-"),"-")</f>
        <v/>
      </c>
      <c r="K38" s="75" t="n">
        <v>2</v>
      </c>
      <c r="L38" s="74" t="n">
        <v>9</v>
      </c>
      <c r="M38" s="74">
        <f>IFERROR(IF(L38&gt;0,K38/L38,"-"),"-")</f>
        <v/>
      </c>
      <c r="N38" s="75" t="n">
        <v>1</v>
      </c>
      <c r="O38" s="74" t="n">
        <v>2</v>
      </c>
      <c r="P38" s="74">
        <f>IFERROR(IF(O38&gt;0,N38/O38,"-"),"-")</f>
        <v/>
      </c>
      <c r="Q38" s="75" t="n">
        <v>2</v>
      </c>
      <c r="R38" s="74" t="n">
        <v>5</v>
      </c>
      <c r="S38" s="74">
        <f>IFERROR(IF(R38&gt;0,Q38/R38,"-"),"-")</f>
        <v/>
      </c>
      <c r="T38" s="75" t="n">
        <v>5</v>
      </c>
      <c r="U38" s="74" t="n">
        <v>17</v>
      </c>
      <c r="V38" s="74">
        <f>IFERROR(IF(U38&gt;0,T38/U38,"-"),"-")</f>
        <v/>
      </c>
      <c r="W38" s="75" t="n">
        <v>2</v>
      </c>
      <c r="X38" s="74" t="n">
        <v>9</v>
      </c>
      <c r="Y38" s="74">
        <f>IFERROR(IF(X38&gt;0,W38/X38,"-"),"-")</f>
        <v/>
      </c>
      <c r="Z38" s="75" t="n">
        <v>3</v>
      </c>
      <c r="AA38" s="74" t="n">
        <v>6</v>
      </c>
      <c r="AB38" s="74">
        <f>IFERROR(IF(AA38&gt;0,Z38/AA38,"-"),"-")</f>
        <v/>
      </c>
      <c r="AC38" s="75" t="n">
        <v>1</v>
      </c>
      <c r="AD38" s="74" t="n">
        <v>5</v>
      </c>
      <c r="AE38" s="74">
        <f>IFERROR(IF(AD38&gt;0,AC38/AD38,"-"),"-")</f>
        <v/>
      </c>
      <c r="AF38" s="75" t="n"/>
      <c r="AG38" s="74" t="n"/>
      <c r="AH38" s="74">
        <f>IFERROR(IF(AG38&gt;0,AF38/AG38,"-"),"-")</f>
        <v/>
      </c>
      <c r="AI38" s="75" t="n">
        <v>2</v>
      </c>
      <c r="AJ38" s="74" t="n">
        <v>3</v>
      </c>
      <c r="AK38" s="74">
        <f>IFERROR(IF(AJ38&gt;0,AI38/AJ38,"-"),"-")</f>
        <v/>
      </c>
      <c r="AL38" s="75" t="n">
        <v>4</v>
      </c>
      <c r="AM38" s="74" t="n">
        <v>1</v>
      </c>
      <c r="AN38" s="74">
        <f>IFERROR(IF(AM38&gt;0,AL38/AM38,"-"),"-")</f>
        <v/>
      </c>
      <c r="AO38" s="75" t="n">
        <v>3</v>
      </c>
      <c r="AP38" s="74" t="n">
        <v>2</v>
      </c>
      <c r="AQ38" s="74">
        <f>IFERROR(IF(AP38&gt;0,AO38/AP38,"-"),"-")</f>
        <v/>
      </c>
      <c r="AR38" s="75" t="n">
        <v>1</v>
      </c>
      <c r="AS38" s="60" t="n"/>
      <c r="AT38" s="60" t="n"/>
    </row>
    <row r="39" ht="15" customHeight="1">
      <c r="A39" s="70" t="n">
        <v>30</v>
      </c>
      <c r="B39" s="71" t="inlineStr">
        <is>
          <t>Dakhoon Collection</t>
        </is>
      </c>
      <c r="C39" s="70" t="inlineStr">
        <is>
          <t>D00002</t>
        </is>
      </c>
      <c r="D39" s="71" t="inlineStr">
        <is>
          <t>Dakhoon Al Marasim</t>
        </is>
      </c>
      <c r="E39" s="70" t="n"/>
      <c r="F39" s="72">
        <f>SUM(I39:AP39)</f>
        <v/>
      </c>
      <c r="G39" s="72">
        <f>SUM(J39:AQ39)</f>
        <v/>
      </c>
      <c r="H39" s="73">
        <f>IFERROR(IF(G39&gt;0,F39/G39,"-"),"-")</f>
        <v/>
      </c>
      <c r="I39" s="74" t="n"/>
      <c r="J39" s="74">
        <f>IFERROR(IF(I39&gt;0,H39/I39,"-"),"-")</f>
        <v/>
      </c>
      <c r="K39" s="75" t="n">
        <v>1</v>
      </c>
      <c r="L39" s="74" t="n">
        <v>1</v>
      </c>
      <c r="M39" s="74">
        <f>IFERROR(IF(L39&gt;0,K39/L39,"-"),"-")</f>
        <v/>
      </c>
      <c r="N39" s="75" t="n"/>
      <c r="O39" s="74" t="n">
        <v>1</v>
      </c>
      <c r="P39" s="74">
        <f>IFERROR(IF(O39&gt;0,N39/O39,"-"),"-")</f>
        <v/>
      </c>
      <c r="Q39" s="75" t="n"/>
      <c r="R39" s="74" t="n"/>
      <c r="S39" s="74">
        <f>IFERROR(IF(R39&gt;0,Q39/R39,"-"),"-")</f>
        <v/>
      </c>
      <c r="T39" s="75" t="n"/>
      <c r="U39" s="74" t="n">
        <v>1</v>
      </c>
      <c r="V39" s="74">
        <f>IFERROR(IF(U39&gt;0,T39/U39,"-"),"-")</f>
        <v/>
      </c>
      <c r="W39" s="75" t="n"/>
      <c r="X39" s="74" t="n"/>
      <c r="Y39" s="74">
        <f>IFERROR(IF(X39&gt;0,W39/X39,"-"),"-")</f>
        <v/>
      </c>
      <c r="Z39" s="75" t="n"/>
      <c r="AA39" s="74" t="n"/>
      <c r="AB39" s="74">
        <f>IFERROR(IF(AA39&gt;0,Z39/AA39,"-"),"-")</f>
        <v/>
      </c>
      <c r="AC39" s="75" t="n"/>
      <c r="AD39" s="74" t="n">
        <v>2</v>
      </c>
      <c r="AE39" s="74">
        <f>IFERROR(IF(AD39&gt;0,AC39/AD39,"-"),"-")</f>
        <v/>
      </c>
      <c r="AF39" s="75" t="n"/>
      <c r="AG39" s="74" t="n"/>
      <c r="AH39" s="74">
        <f>IFERROR(IF(AG39&gt;0,AF39/AG39,"-"),"-")</f>
        <v/>
      </c>
      <c r="AI39" s="75" t="n"/>
      <c r="AJ39" s="74" t="n"/>
      <c r="AK39" s="74">
        <f>IFERROR(IF(AJ39&gt;0,AI39/AJ39,"-"),"-")</f>
        <v/>
      </c>
      <c r="AL39" s="75" t="n"/>
      <c r="AM39" s="74" t="n"/>
      <c r="AN39" s="74">
        <f>IFERROR(IF(AM39&gt;0,AL39/AM39,"-"),"-")</f>
        <v/>
      </c>
      <c r="AO39" s="75" t="n"/>
      <c r="AP39" s="74" t="n"/>
      <c r="AQ39" s="74">
        <f>IFERROR(IF(AP39&gt;0,AO39/AP39,"-"),"-")</f>
        <v/>
      </c>
      <c r="AR39" s="75" t="n"/>
      <c r="AS39" s="60" t="n"/>
      <c r="AT39" s="60" t="n"/>
    </row>
    <row r="40" ht="15" customHeight="1">
      <c r="A40" s="70" t="n">
        <v>31</v>
      </c>
      <c r="B40" s="71" t="inlineStr">
        <is>
          <t>Dakhoon Collection</t>
        </is>
      </c>
      <c r="C40" s="70" t="inlineStr">
        <is>
          <t>D00003</t>
        </is>
      </c>
      <c r="D40" s="71" t="inlineStr">
        <is>
          <t>Dakhoon Badia</t>
        </is>
      </c>
      <c r="E40" s="70" t="n">
        <v>1</v>
      </c>
      <c r="F40" s="72">
        <f>SUM(I40:AP40)</f>
        <v/>
      </c>
      <c r="G40" s="72">
        <f>SUM(J40:AQ40)</f>
        <v/>
      </c>
      <c r="H40" s="73">
        <f>IFERROR(IF(G40&gt;0,F40/G40,"-"),"-")</f>
        <v/>
      </c>
      <c r="I40" s="74" t="n"/>
      <c r="J40" s="74">
        <f>IFERROR(IF(I40&gt;0,H40/I40,"-"),"-")</f>
        <v/>
      </c>
      <c r="K40" s="75" t="n"/>
      <c r="L40" s="74" t="n">
        <v>1</v>
      </c>
      <c r="M40" s="74">
        <f>IFERROR(IF(L40&gt;0,K40/L40,"-"),"-")</f>
        <v/>
      </c>
      <c r="N40" s="75" t="n"/>
      <c r="O40" s="74" t="n">
        <v>1</v>
      </c>
      <c r="P40" s="74">
        <f>IFERROR(IF(O40&gt;0,N40/O40,"-"),"-")</f>
        <v/>
      </c>
      <c r="Q40" s="75" t="n"/>
      <c r="R40" s="74" t="n"/>
      <c r="S40" s="74">
        <f>IFERROR(IF(R40&gt;0,Q40/R40,"-"),"-")</f>
        <v/>
      </c>
      <c r="T40" s="75" t="n"/>
      <c r="U40" s="74" t="n"/>
      <c r="V40" s="74">
        <f>IFERROR(IF(U40&gt;0,T40/U40,"-"),"-")</f>
        <v/>
      </c>
      <c r="W40" s="75" t="n"/>
      <c r="X40" s="74" t="n"/>
      <c r="Y40" s="74">
        <f>IFERROR(IF(X40&gt;0,W40/X40,"-"),"-")</f>
        <v/>
      </c>
      <c r="Z40" s="75" t="n"/>
      <c r="AA40" s="74" t="n">
        <v>3</v>
      </c>
      <c r="AB40" s="74">
        <f>IFERROR(IF(AA40&gt;0,Z40/AA40,"-"),"-")</f>
        <v/>
      </c>
      <c r="AC40" s="75" t="n"/>
      <c r="AD40" s="74" t="n"/>
      <c r="AE40" s="74">
        <f>IFERROR(IF(AD40&gt;0,AC40/AD40,"-"),"-")</f>
        <v/>
      </c>
      <c r="AF40" s="75" t="n"/>
      <c r="AG40" s="74" t="n"/>
      <c r="AH40" s="74">
        <f>IFERROR(IF(AG40&gt;0,AF40/AG40,"-"),"-")</f>
        <v/>
      </c>
      <c r="AI40" s="75" t="n"/>
      <c r="AJ40" s="74" t="n"/>
      <c r="AK40" s="74">
        <f>IFERROR(IF(AJ40&gt;0,AI40/AJ40,"-"),"-")</f>
        <v/>
      </c>
      <c r="AL40" s="75" t="n"/>
      <c r="AM40" s="74" t="n"/>
      <c r="AN40" s="74">
        <f>IFERROR(IF(AM40&gt;0,AL40/AM40,"-"),"-")</f>
        <v/>
      </c>
      <c r="AO40" s="75" t="n"/>
      <c r="AP40" s="74" t="n"/>
      <c r="AQ40" s="74">
        <f>IFERROR(IF(AP40&gt;0,AO40/AP40,"-"),"-")</f>
        <v/>
      </c>
      <c r="AR40" s="75" t="n"/>
      <c r="AS40" s="60" t="n"/>
      <c r="AT40" s="60" t="n"/>
    </row>
    <row r="41" ht="15" customHeight="1">
      <c r="A41" s="70" t="n">
        <v>32</v>
      </c>
      <c r="B41" s="71" t="inlineStr">
        <is>
          <t>Dakhoon Collection</t>
        </is>
      </c>
      <c r="C41" s="70" t="inlineStr">
        <is>
          <t>D00004</t>
        </is>
      </c>
      <c r="D41" s="71" t="inlineStr">
        <is>
          <t>Dakhoon Al Dar</t>
        </is>
      </c>
      <c r="E41" s="70" t="n">
        <v>1</v>
      </c>
      <c r="F41" s="72">
        <f>SUM(I41:AP41)</f>
        <v/>
      </c>
      <c r="G41" s="72">
        <f>SUM(J41:AQ41)</f>
        <v/>
      </c>
      <c r="H41" s="73">
        <f>IFERROR(IF(G41&gt;0,F41/G41,"-"),"-")</f>
        <v/>
      </c>
      <c r="I41" s="74" t="n"/>
      <c r="J41" s="74">
        <f>IFERROR(IF(I41&gt;0,H41/I41,"-"),"-")</f>
        <v/>
      </c>
      <c r="K41" s="75" t="n"/>
      <c r="L41" s="74" t="n"/>
      <c r="M41" s="74">
        <f>IFERROR(IF(L41&gt;0,K41/L41,"-"),"-")</f>
        <v/>
      </c>
      <c r="N41" s="75" t="n"/>
      <c r="O41" s="74" t="n"/>
      <c r="P41" s="74">
        <f>IFERROR(IF(O41&gt;0,N41/O41,"-"),"-")</f>
        <v/>
      </c>
      <c r="Q41" s="75" t="n"/>
      <c r="R41" s="74" t="n"/>
      <c r="S41" s="74">
        <f>IFERROR(IF(R41&gt;0,Q41/R41,"-"),"-")</f>
        <v/>
      </c>
      <c r="T41" s="75" t="n"/>
      <c r="U41" s="74" t="n"/>
      <c r="V41" s="74">
        <f>IFERROR(IF(U41&gt;0,T41/U41,"-"),"-")</f>
        <v/>
      </c>
      <c r="W41" s="75" t="n"/>
      <c r="X41" s="74" t="n"/>
      <c r="Y41" s="74">
        <f>IFERROR(IF(X41&gt;0,W41/X41,"-"),"-")</f>
        <v/>
      </c>
      <c r="Z41" s="75" t="n"/>
      <c r="AA41" s="74" t="n"/>
      <c r="AB41" s="74">
        <f>IFERROR(IF(AA41&gt;0,Z41/AA41,"-"),"-")</f>
        <v/>
      </c>
      <c r="AC41" s="75" t="n"/>
      <c r="AD41" s="74" t="n"/>
      <c r="AE41" s="74">
        <f>IFERROR(IF(AD41&gt;0,AC41/AD41,"-"),"-")</f>
        <v/>
      </c>
      <c r="AF41" s="75" t="n"/>
      <c r="AG41" s="74" t="n"/>
      <c r="AH41" s="74">
        <f>IFERROR(IF(AG41&gt;0,AF41/AG41,"-"),"-")</f>
        <v/>
      </c>
      <c r="AI41" s="75" t="n"/>
      <c r="AJ41" s="74" t="n"/>
      <c r="AK41" s="74">
        <f>IFERROR(IF(AJ41&gt;0,AI41/AJ41,"-"),"-")</f>
        <v/>
      </c>
      <c r="AL41" s="75" t="n"/>
      <c r="AM41" s="74" t="n"/>
      <c r="AN41" s="74">
        <f>IFERROR(IF(AM41&gt;0,AL41/AM41,"-"),"-")</f>
        <v/>
      </c>
      <c r="AO41" s="75" t="n"/>
      <c r="AP41" s="74" t="n"/>
      <c r="AQ41" s="74">
        <f>IFERROR(IF(AP41&gt;0,AO41/AP41,"-"),"-")</f>
        <v/>
      </c>
      <c r="AR41" s="75" t="n"/>
      <c r="AS41" s="60" t="n"/>
      <c r="AT41" s="60" t="n"/>
    </row>
    <row r="42" ht="15" customHeight="1">
      <c r="A42" s="70" t="n">
        <v>33</v>
      </c>
      <c r="B42" s="71" t="inlineStr">
        <is>
          <t>Dakhoon Collection</t>
        </is>
      </c>
      <c r="C42" s="70" t="inlineStr">
        <is>
          <t>D00005</t>
        </is>
      </c>
      <c r="D42" s="71" t="inlineStr">
        <is>
          <t>Dakhoon Al Barzah</t>
        </is>
      </c>
      <c r="E42" s="70" t="n">
        <v>1</v>
      </c>
      <c r="F42" s="72">
        <f>SUM(I42:AP42)</f>
        <v/>
      </c>
      <c r="G42" s="72">
        <f>SUM(J42:AQ42)</f>
        <v/>
      </c>
      <c r="H42" s="73">
        <f>IFERROR(IF(G42&gt;0,F42/G42,"-"),"-")</f>
        <v/>
      </c>
      <c r="I42" s="74" t="n"/>
      <c r="J42" s="74">
        <f>IFERROR(IF(I42&gt;0,H42/I42,"-"),"-")</f>
        <v/>
      </c>
      <c r="K42" s="75" t="n"/>
      <c r="L42" s="74" t="n"/>
      <c r="M42" s="74">
        <f>IFERROR(IF(L42&gt;0,K42/L42,"-"),"-")</f>
        <v/>
      </c>
      <c r="N42" s="75" t="n"/>
      <c r="O42" s="74" t="n"/>
      <c r="P42" s="74">
        <f>IFERROR(IF(O42&gt;0,N42/O42,"-"),"-")</f>
        <v/>
      </c>
      <c r="Q42" s="75" t="n"/>
      <c r="R42" s="74" t="n"/>
      <c r="S42" s="74">
        <f>IFERROR(IF(R42&gt;0,Q42/R42,"-"),"-")</f>
        <v/>
      </c>
      <c r="T42" s="75" t="n"/>
      <c r="U42" s="74" t="n">
        <v>1</v>
      </c>
      <c r="V42" s="74">
        <f>IFERROR(IF(U42&gt;0,T42/U42,"-"),"-")</f>
        <v/>
      </c>
      <c r="W42" s="75" t="n"/>
      <c r="X42" s="74" t="n"/>
      <c r="Y42" s="74">
        <f>IFERROR(IF(X42&gt;0,W42/X42,"-"),"-")</f>
        <v/>
      </c>
      <c r="Z42" s="75" t="n"/>
      <c r="AA42" s="74" t="n"/>
      <c r="AB42" s="74">
        <f>IFERROR(IF(AA42&gt;0,Z42/AA42,"-"),"-")</f>
        <v/>
      </c>
      <c r="AC42" s="75" t="n"/>
      <c r="AD42" s="74" t="n">
        <v>1</v>
      </c>
      <c r="AE42" s="74">
        <f>IFERROR(IF(AD42&gt;0,AC42/AD42,"-"),"-")</f>
        <v/>
      </c>
      <c r="AF42" s="75" t="n"/>
      <c r="AG42" s="74" t="n"/>
      <c r="AH42" s="74">
        <f>IFERROR(IF(AG42&gt;0,AF42/AG42,"-"),"-")</f>
        <v/>
      </c>
      <c r="AI42" s="75" t="n"/>
      <c r="AJ42" s="74" t="n">
        <v>1</v>
      </c>
      <c r="AK42" s="74">
        <f>IFERROR(IF(AJ42&gt;0,AI42/AJ42,"-"),"-")</f>
        <v/>
      </c>
      <c r="AL42" s="75" t="n"/>
      <c r="AM42" s="74" t="n"/>
      <c r="AN42" s="74">
        <f>IFERROR(IF(AM42&gt;0,AL42/AM42,"-"),"-")</f>
        <v/>
      </c>
      <c r="AO42" s="75" t="n"/>
      <c r="AP42" s="74" t="n"/>
      <c r="AQ42" s="74">
        <f>IFERROR(IF(AP42&gt;0,AO42/AP42,"-"),"-")</f>
        <v/>
      </c>
      <c r="AR42" s="75" t="n"/>
      <c r="AS42" s="60" t="n"/>
      <c r="AT42" s="60" t="n"/>
    </row>
    <row r="43" ht="15" customHeight="1">
      <c r="A43" s="70" t="n">
        <v>34</v>
      </c>
      <c r="B43" s="71" t="inlineStr">
        <is>
          <t>Dakhoon Collection</t>
        </is>
      </c>
      <c r="C43" s="70" t="inlineStr">
        <is>
          <t>D00008</t>
        </is>
      </c>
      <c r="D43" s="71" t="inlineStr">
        <is>
          <t>Dakhoon Retaj</t>
        </is>
      </c>
      <c r="E43" s="70" t="n">
        <v>2</v>
      </c>
      <c r="F43" s="72">
        <f>SUM(I43:AP43)</f>
        <v/>
      </c>
      <c r="G43" s="72">
        <f>SUM(J43:AQ43)</f>
        <v/>
      </c>
      <c r="H43" s="73">
        <f>IFERROR(IF(G43&gt;0,F43/G43,"-"),"-")</f>
        <v/>
      </c>
      <c r="I43" s="74" t="n">
        <v>3</v>
      </c>
      <c r="J43" s="74">
        <f>IFERROR(IF(I43&gt;0,H43/I43,"-"),"-")</f>
        <v/>
      </c>
      <c r="K43" s="75" t="n"/>
      <c r="L43" s="74" t="n"/>
      <c r="M43" s="74">
        <f>IFERROR(IF(L43&gt;0,K43/L43,"-"),"-")</f>
        <v/>
      </c>
      <c r="N43" s="75" t="n">
        <v>1</v>
      </c>
      <c r="O43" s="74" t="n"/>
      <c r="P43" s="74">
        <f>IFERROR(IF(O43&gt;0,N43/O43,"-"),"-")</f>
        <v/>
      </c>
      <c r="Q43" s="75" t="n"/>
      <c r="R43" s="74" t="n"/>
      <c r="S43" s="74">
        <f>IFERROR(IF(R43&gt;0,Q43/R43,"-"),"-")</f>
        <v/>
      </c>
      <c r="T43" s="75" t="n"/>
      <c r="U43" s="74" t="n">
        <v>2</v>
      </c>
      <c r="V43" s="74">
        <f>IFERROR(IF(U43&gt;0,T43/U43,"-"),"-")</f>
        <v/>
      </c>
      <c r="W43" s="75" t="n">
        <v>1</v>
      </c>
      <c r="X43" s="74" t="n">
        <v>1</v>
      </c>
      <c r="Y43" s="74">
        <f>IFERROR(IF(X43&gt;0,W43/X43,"-"),"-")</f>
        <v/>
      </c>
      <c r="Z43" s="75" t="n"/>
      <c r="AA43" s="74" t="n">
        <v>3</v>
      </c>
      <c r="AB43" s="74">
        <f>IFERROR(IF(AA43&gt;0,Z43/AA43,"-"),"-")</f>
        <v/>
      </c>
      <c r="AC43" s="75" t="n">
        <v>1</v>
      </c>
      <c r="AD43" s="74" t="n"/>
      <c r="AE43" s="74">
        <f>IFERROR(IF(AD43&gt;0,AC43/AD43,"-"),"-")</f>
        <v/>
      </c>
      <c r="AF43" s="75" t="n"/>
      <c r="AG43" s="74" t="n"/>
      <c r="AH43" s="74">
        <f>IFERROR(IF(AG43&gt;0,AF43/AG43,"-"),"-")</f>
        <v/>
      </c>
      <c r="AI43" s="75" t="n"/>
      <c r="AJ43" s="74" t="n">
        <v>3</v>
      </c>
      <c r="AK43" s="74">
        <f>IFERROR(IF(AJ43&gt;0,AI43/AJ43,"-"),"-")</f>
        <v/>
      </c>
      <c r="AL43" s="75" t="n"/>
      <c r="AM43" s="74" t="n">
        <v>2</v>
      </c>
      <c r="AN43" s="74">
        <f>IFERROR(IF(AM43&gt;0,AL43/AM43,"-"),"-")</f>
        <v/>
      </c>
      <c r="AO43" s="75" t="n"/>
      <c r="AP43" s="74" t="n">
        <v>2</v>
      </c>
      <c r="AQ43" s="74">
        <f>IFERROR(IF(AP43&gt;0,AO43/AP43,"-"),"-")</f>
        <v/>
      </c>
      <c r="AR43" s="75" t="n"/>
      <c r="AS43" s="60" t="n"/>
      <c r="AT43" s="60" t="n"/>
    </row>
    <row r="44" ht="15" customHeight="1">
      <c r="A44" s="76" t="inlineStr">
        <is>
          <t xml:space="preserve">  OUD COLLECTION</t>
        </is>
      </c>
      <c r="B44" s="77" t="n"/>
      <c r="C44" s="77" t="n"/>
      <c r="D44" s="77" t="n"/>
      <c r="E44" s="77" t="n">
        <v>1</v>
      </c>
      <c r="F44" s="72">
        <f>SUM(I44:AP44)</f>
        <v/>
      </c>
      <c r="G44" s="72">
        <f>SUM(J44:AQ44)</f>
        <v/>
      </c>
      <c r="H44" s="73">
        <f>IFERROR(IF(G44&gt;0,F44/G44,"-"),"-")</f>
        <v/>
      </c>
      <c r="I44" s="74" t="n">
        <v>1</v>
      </c>
      <c r="J44" s="74">
        <f>IFERROR(IF(I44&gt;0,H44/I44,"-"),"-")</f>
        <v/>
      </c>
      <c r="K44" s="75" t="n"/>
      <c r="L44" s="74" t="n"/>
      <c r="M44" s="74">
        <f>IFERROR(IF(L44&gt;0,K44/L44,"-"),"-")</f>
        <v/>
      </c>
      <c r="N44" s="75" t="n"/>
      <c r="O44" s="74" t="n"/>
      <c r="P44" s="74">
        <f>IFERROR(IF(O44&gt;0,N44/O44,"-"),"-")</f>
        <v/>
      </c>
      <c r="Q44" s="75" t="n"/>
      <c r="R44" s="74" t="n"/>
      <c r="S44" s="74">
        <f>IFERROR(IF(R44&gt;0,Q44/R44,"-"),"-")</f>
        <v/>
      </c>
      <c r="T44" s="75" t="n"/>
      <c r="U44" s="74" t="n">
        <v>3</v>
      </c>
      <c r="V44" s="74">
        <f>IFERROR(IF(U44&gt;0,T44/U44,"-"),"-")</f>
        <v/>
      </c>
      <c r="W44" s="75" t="n"/>
      <c r="X44" s="74" t="n">
        <v>2</v>
      </c>
      <c r="Y44" s="74">
        <f>IFERROR(IF(X44&gt;0,W44/X44,"-"),"-")</f>
        <v/>
      </c>
      <c r="Z44" s="75" t="n"/>
      <c r="AA44" s="74" t="n">
        <v>4</v>
      </c>
      <c r="AB44" s="74">
        <f>IFERROR(IF(AA44&gt;0,Z44/AA44,"-"),"-")</f>
        <v/>
      </c>
      <c r="AC44" s="75" t="n"/>
      <c r="AD44" s="74" t="n">
        <v>1</v>
      </c>
      <c r="AE44" s="74">
        <f>IFERROR(IF(AD44&gt;0,AC44/AD44,"-"),"-")</f>
        <v/>
      </c>
      <c r="AF44" s="75" t="n"/>
      <c r="AG44" s="74" t="n"/>
      <c r="AH44" s="74">
        <f>IFERROR(IF(AG44&gt;0,AF44/AG44,"-"),"-")</f>
        <v/>
      </c>
      <c r="AI44" s="75" t="n"/>
      <c r="AJ44" s="74" t="n">
        <v>3</v>
      </c>
      <c r="AK44" s="74">
        <f>IFERROR(IF(AJ44&gt;0,AI44/AJ44,"-"),"-")</f>
        <v/>
      </c>
      <c r="AL44" s="75" t="n"/>
      <c r="AM44" s="74" t="n">
        <v>2</v>
      </c>
      <c r="AN44" s="74">
        <f>IFERROR(IF(AM44&gt;0,AL44/AM44,"-"),"-")</f>
        <v/>
      </c>
      <c r="AO44" s="75" t="n"/>
      <c r="AP44" s="74" t="n">
        <v>2</v>
      </c>
      <c r="AQ44" s="74">
        <f>IFERROR(IF(AP44&gt;0,AO44/AP44,"-"),"-")</f>
        <v/>
      </c>
      <c r="AR44" s="75" t="n"/>
      <c r="AS44" s="59" t="n"/>
      <c r="AT44" s="59" t="n"/>
    </row>
    <row r="45" ht="15" customHeight="1">
      <c r="A45" s="70" t="n">
        <v>35</v>
      </c>
      <c r="B45" s="71" t="inlineStr">
        <is>
          <t>Oud Collection</t>
        </is>
      </c>
      <c r="C45" s="70" t="inlineStr">
        <is>
          <t>O00001</t>
        </is>
      </c>
      <c r="D45" s="71" t="inlineStr">
        <is>
          <t>Oud Amiri</t>
        </is>
      </c>
      <c r="E45" s="70" t="n">
        <v>1</v>
      </c>
      <c r="F45" s="72">
        <f>SUM(I45:AP45)</f>
        <v/>
      </c>
      <c r="G45" s="72">
        <f>SUM(J45:AQ45)</f>
        <v/>
      </c>
      <c r="H45" s="73">
        <f>IFERROR(IF(G45&gt;0,F45/G45,"-"),"-")</f>
        <v/>
      </c>
      <c r="I45" s="74" t="n"/>
      <c r="J45" s="74">
        <f>IFERROR(IF(I45&gt;0,H45/I45,"-"),"-")</f>
        <v/>
      </c>
      <c r="K45" s="75" t="n"/>
      <c r="L45" s="74" t="n"/>
      <c r="M45" s="74">
        <f>IFERROR(IF(L45&gt;0,K45/L45,"-"),"-")</f>
        <v/>
      </c>
      <c r="N45" s="75" t="n"/>
      <c r="O45" s="74" t="n">
        <v>1</v>
      </c>
      <c r="P45" s="74">
        <f>IFERROR(IF(O45&gt;0,N45/O45,"-"),"-")</f>
        <v/>
      </c>
      <c r="Q45" s="75" t="n"/>
      <c r="R45" s="74" t="n"/>
      <c r="S45" s="74">
        <f>IFERROR(IF(R45&gt;0,Q45/R45,"-"),"-")</f>
        <v/>
      </c>
      <c r="T45" s="75" t="n"/>
      <c r="U45" s="74" t="n">
        <v>4</v>
      </c>
      <c r="V45" s="74">
        <f>IFERROR(IF(U45&gt;0,T45/U45,"-"),"-")</f>
        <v/>
      </c>
      <c r="W45" s="75" t="n"/>
      <c r="X45" s="74" t="n"/>
      <c r="Y45" s="74">
        <f>IFERROR(IF(X45&gt;0,W45/X45,"-"),"-")</f>
        <v/>
      </c>
      <c r="Z45" s="75" t="n"/>
      <c r="AA45" s="74" t="n"/>
      <c r="AB45" s="74">
        <f>IFERROR(IF(AA45&gt;0,Z45/AA45,"-"),"-")</f>
        <v/>
      </c>
      <c r="AC45" s="75" t="n"/>
      <c r="AD45" s="74" t="n">
        <v>1</v>
      </c>
      <c r="AE45" s="74">
        <f>IFERROR(IF(AD45&gt;0,AC45/AD45,"-"),"-")</f>
        <v/>
      </c>
      <c r="AF45" s="75" t="n"/>
      <c r="AG45" s="74" t="n"/>
      <c r="AH45" s="74">
        <f>IFERROR(IF(AG45&gt;0,AF45/AG45,"-"),"-")</f>
        <v/>
      </c>
      <c r="AI45" s="75" t="n"/>
      <c r="AJ45" s="74" t="n"/>
      <c r="AK45" s="74">
        <f>IFERROR(IF(AJ45&gt;0,AI45/AJ45,"-"),"-")</f>
        <v/>
      </c>
      <c r="AL45" s="75" t="n"/>
      <c r="AM45" s="74" t="n"/>
      <c r="AN45" s="74">
        <f>IFERROR(IF(AM45&gt;0,AL45/AM45,"-"),"-")</f>
        <v/>
      </c>
      <c r="AO45" s="75" t="n"/>
      <c r="AP45" s="74" t="n"/>
      <c r="AQ45" s="74">
        <f>IFERROR(IF(AP45&gt;0,AO45/AP45,"-"),"-")</f>
        <v/>
      </c>
      <c r="AR45" s="75" t="n"/>
      <c r="AS45" s="60" t="n"/>
      <c r="AT45" s="60" t="n"/>
    </row>
    <row r="46" ht="15" customHeight="1">
      <c r="A46" s="70" t="n">
        <v>36</v>
      </c>
      <c r="B46" s="71" t="inlineStr">
        <is>
          <t>Oud Collection</t>
        </is>
      </c>
      <c r="C46" s="70" t="inlineStr">
        <is>
          <t>O00006</t>
        </is>
      </c>
      <c r="D46" s="71" t="inlineStr">
        <is>
          <t>Oud Al Fakhamah</t>
        </is>
      </c>
      <c r="E46" s="70" t="n">
        <v>1</v>
      </c>
      <c r="F46" s="72">
        <f>SUM(I46:AP46)</f>
        <v/>
      </c>
      <c r="G46" s="72">
        <f>SUM(J46:AQ46)</f>
        <v/>
      </c>
      <c r="H46" s="73">
        <f>IFERROR(IF(G46&gt;0,F46/G46,"-"),"-")</f>
        <v/>
      </c>
      <c r="I46" s="74" t="n">
        <v>2</v>
      </c>
      <c r="J46" s="74">
        <f>IFERROR(IF(I46&gt;0,H46/I46,"-"),"-")</f>
        <v/>
      </c>
      <c r="K46" s="75" t="n"/>
      <c r="L46" s="74" t="n"/>
      <c r="M46" s="74">
        <f>IFERROR(IF(L46&gt;0,K46/L46,"-"),"-")</f>
        <v/>
      </c>
      <c r="N46" s="75" t="n"/>
      <c r="O46" s="74" t="n">
        <v>2</v>
      </c>
      <c r="P46" s="74">
        <f>IFERROR(IF(O46&gt;0,N46/O46,"-"),"-")</f>
        <v/>
      </c>
      <c r="Q46" s="75" t="n"/>
      <c r="R46" s="74" t="n">
        <v>3</v>
      </c>
      <c r="S46" s="74">
        <f>IFERROR(IF(R46&gt;0,Q46/R46,"-"),"-")</f>
        <v/>
      </c>
      <c r="T46" s="75" t="n">
        <v>1</v>
      </c>
      <c r="U46" s="74" t="n">
        <v>1</v>
      </c>
      <c r="V46" s="74">
        <f>IFERROR(IF(U46&gt;0,T46/U46,"-"),"-")</f>
        <v/>
      </c>
      <c r="W46" s="75" t="n"/>
      <c r="X46" s="74" t="n">
        <v>2</v>
      </c>
      <c r="Y46" s="74">
        <f>IFERROR(IF(X46&gt;0,W46/X46,"-"),"-")</f>
        <v/>
      </c>
      <c r="Z46" s="75" t="n">
        <v>1</v>
      </c>
      <c r="AA46" s="74" t="n">
        <v>4</v>
      </c>
      <c r="AB46" s="74">
        <f>IFERROR(IF(AA46&gt;0,Z46/AA46,"-"),"-")</f>
        <v/>
      </c>
      <c r="AC46" s="75" t="n"/>
      <c r="AD46" s="74" t="n"/>
      <c r="AE46" s="74">
        <f>IFERROR(IF(AD46&gt;0,AC46/AD46,"-"),"-")</f>
        <v/>
      </c>
      <c r="AF46" s="75" t="n"/>
      <c r="AG46" s="74" t="n"/>
      <c r="AH46" s="74">
        <f>IFERROR(IF(AG46&gt;0,AF46/AG46,"-"),"-")</f>
        <v/>
      </c>
      <c r="AI46" s="75" t="n"/>
      <c r="AJ46" s="74" t="n">
        <v>3</v>
      </c>
      <c r="AK46" s="74">
        <f>IFERROR(IF(AJ46&gt;0,AI46/AJ46,"-"),"-")</f>
        <v/>
      </c>
      <c r="AL46" s="75" t="n"/>
      <c r="AM46" s="74" t="n">
        <v>1</v>
      </c>
      <c r="AN46" s="74">
        <f>IFERROR(IF(AM46&gt;0,AL46/AM46,"-"),"-")</f>
        <v/>
      </c>
      <c r="AO46" s="75" t="n"/>
      <c r="AP46" s="74" t="n"/>
      <c r="AQ46" s="74">
        <f>IFERROR(IF(AP46&gt;0,AO46/AP46,"-"),"-")</f>
        <v/>
      </c>
      <c r="AR46" s="75" t="n">
        <v>1</v>
      </c>
      <c r="AS46" s="60" t="n"/>
      <c r="AT46" s="60" t="n"/>
    </row>
    <row r="47" ht="15" customHeight="1">
      <c r="A47" s="70" t="n">
        <v>37</v>
      </c>
      <c r="B47" s="71" t="inlineStr">
        <is>
          <t>Oud Collection</t>
        </is>
      </c>
      <c r="C47" s="70" t="inlineStr">
        <is>
          <t>O00007</t>
        </is>
      </c>
      <c r="D47" s="71" t="inlineStr">
        <is>
          <t>Oud Hindi Khas - AGARWOOD BOX -42g</t>
        </is>
      </c>
      <c r="E47" s="70" t="n">
        <v>3</v>
      </c>
      <c r="F47" s="72">
        <f>SUM(I47:AP47)</f>
        <v/>
      </c>
      <c r="G47" s="72">
        <f>SUM(J47:AQ47)</f>
        <v/>
      </c>
      <c r="H47" s="73">
        <f>IFERROR(IF(G47&gt;0,F47/G47,"-"),"-")</f>
        <v/>
      </c>
      <c r="I47" s="74" t="n"/>
      <c r="J47" s="74">
        <f>IFERROR(IF(I47&gt;0,H47/I47,"-"),"-")</f>
        <v/>
      </c>
      <c r="K47" s="75" t="n">
        <v>2</v>
      </c>
      <c r="L47" s="74" t="n">
        <v>7</v>
      </c>
      <c r="M47" s="74">
        <f>IFERROR(IF(L47&gt;0,K47/L47,"-"),"-")</f>
        <v/>
      </c>
      <c r="N47" s="75" t="n">
        <v>2</v>
      </c>
      <c r="O47" s="74" t="n">
        <v>7</v>
      </c>
      <c r="P47" s="74">
        <f>IFERROR(IF(O47&gt;0,N47/O47,"-"),"-")</f>
        <v/>
      </c>
      <c r="Q47" s="75" t="n">
        <v>2</v>
      </c>
      <c r="R47" s="74" t="n"/>
      <c r="S47" s="74">
        <f>IFERROR(IF(R47&gt;0,Q47/R47,"-"),"-")</f>
        <v/>
      </c>
      <c r="T47" s="75" t="n">
        <v>3</v>
      </c>
      <c r="U47" s="74" t="n">
        <v>5</v>
      </c>
      <c r="V47" s="74">
        <f>IFERROR(IF(U47&gt;0,T47/U47,"-"),"-")</f>
        <v/>
      </c>
      <c r="W47" s="75" t="n">
        <v>4</v>
      </c>
      <c r="X47" s="74" t="n">
        <v>5</v>
      </c>
      <c r="Y47" s="74">
        <f>IFERROR(IF(X47&gt;0,W47/X47,"-"),"-")</f>
        <v/>
      </c>
      <c r="Z47" s="75" t="n">
        <v>6</v>
      </c>
      <c r="AA47" s="74" t="n">
        <v>7</v>
      </c>
      <c r="AB47" s="74">
        <f>IFERROR(IF(AA47&gt;0,Z47/AA47,"-"),"-")</f>
        <v/>
      </c>
      <c r="AC47" s="75" t="n">
        <v>3</v>
      </c>
      <c r="AD47" s="74" t="n"/>
      <c r="AE47" s="74">
        <f>IFERROR(IF(AD47&gt;0,AC47/AD47,"-"),"-")</f>
        <v/>
      </c>
      <c r="AF47" s="75" t="n"/>
      <c r="AG47" s="74" t="n"/>
      <c r="AH47" s="74">
        <f>IFERROR(IF(AG47&gt;0,AF47/AG47,"-"),"-")</f>
        <v/>
      </c>
      <c r="AI47" s="75" t="n">
        <v>4</v>
      </c>
      <c r="AJ47" s="74" t="n">
        <v>10</v>
      </c>
      <c r="AK47" s="74">
        <f>IFERROR(IF(AJ47&gt;0,AI47/AJ47,"-"),"-")</f>
        <v/>
      </c>
      <c r="AL47" s="75" t="n">
        <v>2</v>
      </c>
      <c r="AM47" s="74" t="n"/>
      <c r="AN47" s="74">
        <f>IFERROR(IF(AM47&gt;0,AL47/AM47,"-"),"-")</f>
        <v/>
      </c>
      <c r="AO47" s="75" t="n">
        <v>3</v>
      </c>
      <c r="AP47" s="74" t="n">
        <v>9</v>
      </c>
      <c r="AQ47" s="74">
        <f>IFERROR(IF(AP47&gt;0,AO47/AP47,"-"),"-")</f>
        <v/>
      </c>
      <c r="AR47" s="75" t="n">
        <v>1</v>
      </c>
      <c r="AS47" s="60" t="n"/>
      <c r="AT47" s="60" t="n"/>
    </row>
    <row r="48" ht="15" customHeight="1">
      <c r="A48" s="70" t="n">
        <v>38</v>
      </c>
      <c r="B48" s="71" t="inlineStr">
        <is>
          <t>Oud Collection</t>
        </is>
      </c>
      <c r="C48" s="70" t="inlineStr">
        <is>
          <t>O00008</t>
        </is>
      </c>
      <c r="D48" s="71" t="inlineStr">
        <is>
          <t>Oud Hindi Malaki -AGARWOOD BOX 42g</t>
        </is>
      </c>
      <c r="E48" s="70" t="n"/>
      <c r="F48" s="72">
        <f>SUM(I48:AP48)</f>
        <v/>
      </c>
      <c r="G48" s="72">
        <f>SUM(J48:AQ48)</f>
        <v/>
      </c>
      <c r="H48" s="73">
        <f>IFERROR(IF(G48&gt;0,F48/G48,"-"),"-")</f>
        <v/>
      </c>
      <c r="I48" s="74" t="n"/>
      <c r="J48" s="74">
        <f>IFERROR(IF(I48&gt;0,H48/I48,"-"),"-")</f>
        <v/>
      </c>
      <c r="K48" s="75" t="n">
        <v>1</v>
      </c>
      <c r="L48" s="74" t="n"/>
      <c r="M48" s="74">
        <f>IFERROR(IF(L48&gt;0,K48/L48,"-"),"-")</f>
        <v/>
      </c>
      <c r="N48" s="75" t="n"/>
      <c r="O48" s="74" t="n">
        <v>1</v>
      </c>
      <c r="P48" s="74">
        <f>IFERROR(IF(O48&gt;0,N48/O48,"-"),"-")</f>
        <v/>
      </c>
      <c r="Q48" s="75" t="n">
        <v>1</v>
      </c>
      <c r="R48" s="74" t="n"/>
      <c r="S48" s="74">
        <f>IFERROR(IF(R48&gt;0,Q48/R48,"-"),"-")</f>
        <v/>
      </c>
      <c r="T48" s="75" t="n"/>
      <c r="U48" s="74" t="n"/>
      <c r="V48" s="74">
        <f>IFERROR(IF(U48&gt;0,T48/U48,"-"),"-")</f>
        <v/>
      </c>
      <c r="W48" s="75" t="n"/>
      <c r="X48" s="74" t="n"/>
      <c r="Y48" s="74">
        <f>IFERROR(IF(X48&gt;0,W48/X48,"-"),"-")</f>
        <v/>
      </c>
      <c r="Z48" s="75" t="n">
        <v>1</v>
      </c>
      <c r="AA48" s="74" t="n"/>
      <c r="AB48" s="74">
        <f>IFERROR(IF(AA48&gt;0,Z48/AA48,"-"),"-")</f>
        <v/>
      </c>
      <c r="AC48" s="75" t="n"/>
      <c r="AD48" s="74" t="n">
        <v>1</v>
      </c>
      <c r="AE48" s="74">
        <f>IFERROR(IF(AD48&gt;0,AC48/AD48,"-"),"-")</f>
        <v/>
      </c>
      <c r="AF48" s="75" t="n"/>
      <c r="AG48" s="74" t="n"/>
      <c r="AH48" s="74">
        <f>IFERROR(IF(AG48&gt;0,AF48/AG48,"-"),"-")</f>
        <v/>
      </c>
      <c r="AI48" s="75" t="n">
        <v>1</v>
      </c>
      <c r="AJ48" s="74" t="n"/>
      <c r="AK48" s="74">
        <f>IFERROR(IF(AJ48&gt;0,AI48/AJ48,"-"),"-")</f>
        <v/>
      </c>
      <c r="AL48" s="75" t="n">
        <v>1</v>
      </c>
      <c r="AM48" s="74" t="n"/>
      <c r="AN48" s="74">
        <f>IFERROR(IF(AM48&gt;0,AL48/AM48,"-"),"-")</f>
        <v/>
      </c>
      <c r="AO48" s="75" t="n"/>
      <c r="AP48" s="74" t="n"/>
      <c r="AQ48" s="74">
        <f>IFERROR(IF(AP48&gt;0,AO48/AP48,"-"),"-")</f>
        <v/>
      </c>
      <c r="AR48" s="75" t="n">
        <v>1</v>
      </c>
      <c r="AS48" s="60" t="n"/>
      <c r="AT48" s="60" t="n"/>
    </row>
    <row r="49" ht="15" customHeight="1">
      <c r="A49" s="76" t="inlineStr">
        <is>
          <t xml:space="preserve">  FUTURE COLLECTION</t>
        </is>
      </c>
      <c r="B49" s="77" t="n"/>
      <c r="C49" s="77" t="n"/>
      <c r="D49" s="77" t="n"/>
      <c r="E49" s="77" t="n"/>
      <c r="F49" s="72">
        <f>SUM(I49:AP49)</f>
        <v/>
      </c>
      <c r="G49" s="72">
        <f>SUM(J49:AQ49)</f>
        <v/>
      </c>
      <c r="H49" s="73">
        <f>IFERROR(IF(G49&gt;0,F49/G49,"-"),"-")</f>
        <v/>
      </c>
      <c r="I49" s="74" t="n"/>
      <c r="J49" s="74">
        <f>IFERROR(IF(I49&gt;0,H49/I49,"-"),"-")</f>
        <v/>
      </c>
      <c r="K49" s="75" t="n"/>
      <c r="L49" s="74" t="n"/>
      <c r="M49" s="74">
        <f>IFERROR(IF(L49&gt;0,K49/L49,"-"),"-")</f>
        <v/>
      </c>
      <c r="N49" s="75" t="n"/>
      <c r="O49" s="74" t="n"/>
      <c r="P49" s="74">
        <f>IFERROR(IF(O49&gt;0,N49/O49,"-"),"-")</f>
        <v/>
      </c>
      <c r="Q49" s="75" t="n"/>
      <c r="R49" s="74" t="n"/>
      <c r="S49" s="74">
        <f>IFERROR(IF(R49&gt;0,Q49/R49,"-"),"-")</f>
        <v/>
      </c>
      <c r="T49" s="75" t="n"/>
      <c r="U49" s="74" t="n"/>
      <c r="V49" s="74">
        <f>IFERROR(IF(U49&gt;0,T49/U49,"-"),"-")</f>
        <v/>
      </c>
      <c r="W49" s="75" t="n"/>
      <c r="X49" s="74" t="n"/>
      <c r="Y49" s="74">
        <f>IFERROR(IF(X49&gt;0,W49/X49,"-"),"-")</f>
        <v/>
      </c>
      <c r="Z49" s="75" t="n">
        <v>1</v>
      </c>
      <c r="AA49" s="74" t="n"/>
      <c r="AB49" s="74">
        <f>IFERROR(IF(AA49&gt;0,Z49/AA49,"-"),"-")</f>
        <v/>
      </c>
      <c r="AC49" s="75" t="n"/>
      <c r="AD49" s="74" t="n"/>
      <c r="AE49" s="74">
        <f>IFERROR(IF(AD49&gt;0,AC49/AD49,"-"),"-")</f>
        <v/>
      </c>
      <c r="AF49" s="75" t="n"/>
      <c r="AG49" s="74" t="n"/>
      <c r="AH49" s="74">
        <f>IFERROR(IF(AG49&gt;0,AF49/AG49,"-"),"-")</f>
        <v/>
      </c>
      <c r="AI49" s="75" t="n"/>
      <c r="AJ49" s="74" t="n"/>
      <c r="AK49" s="74">
        <f>IFERROR(IF(AJ49&gt;0,AI49/AJ49,"-"),"-")</f>
        <v/>
      </c>
      <c r="AL49" s="75" t="n"/>
      <c r="AM49" s="74" t="n"/>
      <c r="AN49" s="74">
        <f>IFERROR(IF(AM49&gt;0,AL49/AM49,"-"),"-")</f>
        <v/>
      </c>
      <c r="AO49" s="75" t="n"/>
      <c r="AP49" s="74" t="n"/>
      <c r="AQ49" s="74">
        <f>IFERROR(IF(AP49&gt;0,AO49/AP49,"-"),"-")</f>
        <v/>
      </c>
      <c r="AR49" s="75" t="n"/>
      <c r="AS49" s="59" t="n"/>
      <c r="AT49" s="59" t="n"/>
    </row>
    <row r="50" ht="15" customHeight="1">
      <c r="A50" s="70" t="n">
        <v>39</v>
      </c>
      <c r="B50" s="71" t="inlineStr">
        <is>
          <t>Future Collection</t>
        </is>
      </c>
      <c r="C50" s="70" t="inlineStr">
        <is>
          <t>SP0037</t>
        </is>
      </c>
      <c r="D50" s="71" t="inlineStr">
        <is>
          <t>Future Bakhoor 100 ml Perfume</t>
        </is>
      </c>
      <c r="E50" s="70" t="n">
        <v>1</v>
      </c>
      <c r="F50" s="72">
        <f>SUM(I50:AP50)</f>
        <v/>
      </c>
      <c r="G50" s="72">
        <f>SUM(J50:AQ50)</f>
        <v/>
      </c>
      <c r="H50" s="73">
        <f>IFERROR(IF(G50&gt;0,F50/G50,"-"),"-")</f>
        <v/>
      </c>
      <c r="I50" s="74" t="n"/>
      <c r="J50" s="74">
        <f>IFERROR(IF(I50&gt;0,H50/I50,"-"),"-")</f>
        <v/>
      </c>
      <c r="K50" s="75" t="n">
        <v>3</v>
      </c>
      <c r="L50" s="74" t="n">
        <v>1</v>
      </c>
      <c r="M50" s="74">
        <f>IFERROR(IF(L50&gt;0,K50/L50,"-"),"-")</f>
        <v/>
      </c>
      <c r="N50" s="75" t="n"/>
      <c r="O50" s="74" t="n">
        <v>1</v>
      </c>
      <c r="P50" s="74">
        <f>IFERROR(IF(O50&gt;0,N50/O50,"-"),"-")</f>
        <v/>
      </c>
      <c r="Q50" s="75" t="n"/>
      <c r="R50" s="74" t="n">
        <v>2</v>
      </c>
      <c r="S50" s="74">
        <f>IFERROR(IF(R50&gt;0,Q50/R50,"-"),"-")</f>
        <v/>
      </c>
      <c r="T50" s="75" t="n"/>
      <c r="U50" s="74" t="n">
        <v>1</v>
      </c>
      <c r="V50" s="74">
        <f>IFERROR(IF(U50&gt;0,T50/U50,"-"),"-")</f>
        <v/>
      </c>
      <c r="W50" s="75" t="n">
        <v>1</v>
      </c>
      <c r="X50" s="74" t="n">
        <v>1</v>
      </c>
      <c r="Y50" s="74">
        <f>IFERROR(IF(X50&gt;0,W50/X50,"-"),"-")</f>
        <v/>
      </c>
      <c r="Z50" s="75" t="n">
        <v>1</v>
      </c>
      <c r="AA50" s="74" t="n">
        <v>5</v>
      </c>
      <c r="AB50" s="74">
        <f>IFERROR(IF(AA50&gt;0,Z50/AA50,"-"),"-")</f>
        <v/>
      </c>
      <c r="AC50" s="75" t="n"/>
      <c r="AD50" s="74" t="n">
        <v>1</v>
      </c>
      <c r="AE50" s="74">
        <f>IFERROR(IF(AD50&gt;0,AC50/AD50,"-"),"-")</f>
        <v/>
      </c>
      <c r="AF50" s="75" t="n"/>
      <c r="AG50" s="74" t="n"/>
      <c r="AH50" s="74">
        <f>IFERROR(IF(AG50&gt;0,AF50/AG50,"-"),"-")</f>
        <v/>
      </c>
      <c r="AI50" s="75" t="n"/>
      <c r="AJ50" s="74" t="n">
        <v>1</v>
      </c>
      <c r="AK50" s="74">
        <f>IFERROR(IF(AJ50&gt;0,AI50/AJ50,"-"),"-")</f>
        <v/>
      </c>
      <c r="AL50" s="75" t="n"/>
      <c r="AM50" s="74" t="n"/>
      <c r="AN50" s="74">
        <f>IFERROR(IF(AM50&gt;0,AL50/AM50,"-"),"-")</f>
        <v/>
      </c>
      <c r="AO50" s="75" t="n"/>
      <c r="AP50" s="74" t="n">
        <v>3</v>
      </c>
      <c r="AQ50" s="74">
        <f>IFERROR(IF(AP50&gt;0,AO50/AP50,"-"),"-")</f>
        <v/>
      </c>
      <c r="AR50" s="75" t="n"/>
      <c r="AS50" s="60" t="n"/>
      <c r="AT50" s="60" t="n"/>
    </row>
    <row r="51" ht="15" customHeight="1">
      <c r="A51" s="70" t="n">
        <v>40</v>
      </c>
      <c r="B51" s="71" t="inlineStr">
        <is>
          <t>Future Collection</t>
        </is>
      </c>
      <c r="C51" s="70" t="inlineStr">
        <is>
          <t>SP0038</t>
        </is>
      </c>
      <c r="D51" s="71" t="inlineStr">
        <is>
          <t>Future Oud 100 ml Perfume</t>
        </is>
      </c>
      <c r="E51" s="70" t="n">
        <v>1</v>
      </c>
      <c r="F51" s="72">
        <f>SUM(I51:AP51)</f>
        <v/>
      </c>
      <c r="G51" s="72">
        <f>SUM(J51:AQ51)</f>
        <v/>
      </c>
      <c r="H51" s="73">
        <f>IFERROR(IF(G51&gt;0,F51/G51,"-"),"-")</f>
        <v/>
      </c>
      <c r="I51" s="74" t="n"/>
      <c r="J51" s="74">
        <f>IFERROR(IF(I51&gt;0,H51/I51,"-"),"-")</f>
        <v/>
      </c>
      <c r="K51" s="75" t="n"/>
      <c r="L51" s="74" t="n"/>
      <c r="M51" s="74">
        <f>IFERROR(IF(L51&gt;0,K51/L51,"-"),"-")</f>
        <v/>
      </c>
      <c r="N51" s="75" t="n"/>
      <c r="O51" s="74" t="n"/>
      <c r="P51" s="74">
        <f>IFERROR(IF(O51&gt;0,N51/O51,"-"),"-")</f>
        <v/>
      </c>
      <c r="Q51" s="75" t="n"/>
      <c r="R51" s="74" t="n"/>
      <c r="S51" s="74">
        <f>IFERROR(IF(R51&gt;0,Q51/R51,"-"),"-")</f>
        <v/>
      </c>
      <c r="T51" s="75" t="n"/>
      <c r="U51" s="74" t="n"/>
      <c r="V51" s="74">
        <f>IFERROR(IF(U51&gt;0,T51/U51,"-"),"-")</f>
        <v/>
      </c>
      <c r="W51" s="75" t="n"/>
      <c r="X51" s="74" t="n">
        <v>1</v>
      </c>
      <c r="Y51" s="74">
        <f>IFERROR(IF(X51&gt;0,W51/X51,"-"),"-")</f>
        <v/>
      </c>
      <c r="Z51" s="75" t="n"/>
      <c r="AA51" s="74" t="n">
        <v>1</v>
      </c>
      <c r="AB51" s="74">
        <f>IFERROR(IF(AA51&gt;0,Z51/AA51,"-"),"-")</f>
        <v/>
      </c>
      <c r="AC51" s="75" t="n"/>
      <c r="AD51" s="74" t="n"/>
      <c r="AE51" s="74">
        <f>IFERROR(IF(AD51&gt;0,AC51/AD51,"-"),"-")</f>
        <v/>
      </c>
      <c r="AF51" s="75" t="n"/>
      <c r="AG51" s="74" t="n"/>
      <c r="AH51" s="74">
        <f>IFERROR(IF(AG51&gt;0,AF51/AG51,"-"),"-")</f>
        <v/>
      </c>
      <c r="AI51" s="75" t="n"/>
      <c r="AJ51" s="74" t="n"/>
      <c r="AK51" s="74">
        <f>IFERROR(IF(AJ51&gt;0,AI51/AJ51,"-"),"-")</f>
        <v/>
      </c>
      <c r="AL51" s="75" t="n"/>
      <c r="AM51" s="74" t="n"/>
      <c r="AN51" s="74">
        <f>IFERROR(IF(AM51&gt;0,AL51/AM51,"-"),"-")</f>
        <v/>
      </c>
      <c r="AO51" s="75" t="n"/>
      <c r="AP51" s="74" t="n">
        <v>1</v>
      </c>
      <c r="AQ51" s="74">
        <f>IFERROR(IF(AP51&gt;0,AO51/AP51,"-"),"-")</f>
        <v/>
      </c>
      <c r="AR51" s="75" t="n"/>
      <c r="AS51" s="60" t="n"/>
      <c r="AT51" s="60" t="n"/>
    </row>
    <row r="52" ht="15" customHeight="1">
      <c r="A52" s="76" t="inlineStr">
        <is>
          <t xml:space="preserve">  SPECIAL SETS</t>
        </is>
      </c>
      <c r="B52" s="77" t="n"/>
      <c r="C52" s="77" t="n"/>
      <c r="D52" s="77" t="n"/>
      <c r="E52" s="77" t="n">
        <v>1</v>
      </c>
      <c r="F52" s="72">
        <f>SUM(I52:AP52)</f>
        <v/>
      </c>
      <c r="G52" s="72">
        <f>SUM(J52:AQ52)</f>
        <v/>
      </c>
      <c r="H52" s="73">
        <f>IFERROR(IF(G52&gt;0,F52/G52,"-"),"-")</f>
        <v/>
      </c>
      <c r="I52" s="74" t="n">
        <v>3</v>
      </c>
      <c r="J52" s="74">
        <f>IFERROR(IF(I52&gt;0,H52/I52,"-"),"-")</f>
        <v/>
      </c>
      <c r="K52" s="75" t="n">
        <v>1</v>
      </c>
      <c r="L52" s="74" t="n"/>
      <c r="M52" s="74">
        <f>IFERROR(IF(L52&gt;0,K52/L52,"-"),"-")</f>
        <v/>
      </c>
      <c r="N52" s="75" t="n"/>
      <c r="O52" s="74" t="n"/>
      <c r="P52" s="74">
        <f>IFERROR(IF(O52&gt;0,N52/O52,"-"),"-")</f>
        <v/>
      </c>
      <c r="Q52" s="75" t="n"/>
      <c r="R52" s="74" t="n"/>
      <c r="S52" s="74">
        <f>IFERROR(IF(R52&gt;0,Q52/R52,"-"),"-")</f>
        <v/>
      </c>
      <c r="T52" s="75" t="n"/>
      <c r="U52" s="74" t="n"/>
      <c r="V52" s="74">
        <f>IFERROR(IF(U52&gt;0,T52/U52,"-"),"-")</f>
        <v/>
      </c>
      <c r="W52" s="75" t="n"/>
      <c r="X52" s="74" t="n"/>
      <c r="Y52" s="74">
        <f>IFERROR(IF(X52&gt;0,W52/X52,"-"),"-")</f>
        <v/>
      </c>
      <c r="Z52" s="75" t="n"/>
      <c r="AA52" s="74" t="n">
        <v>3</v>
      </c>
      <c r="AB52" s="74">
        <f>IFERROR(IF(AA52&gt;0,Z52/AA52,"-"),"-")</f>
        <v/>
      </c>
      <c r="AC52" s="75" t="n">
        <v>1</v>
      </c>
      <c r="AD52" s="74" t="n"/>
      <c r="AE52" s="74">
        <f>IFERROR(IF(AD52&gt;0,AC52/AD52,"-"),"-")</f>
        <v/>
      </c>
      <c r="AF52" s="75" t="n"/>
      <c r="AG52" s="74" t="n"/>
      <c r="AH52" s="74">
        <f>IFERROR(IF(AG52&gt;0,AF52/AG52,"-"),"-")</f>
        <v/>
      </c>
      <c r="AI52" s="75" t="n"/>
      <c r="AJ52" s="74" t="n"/>
      <c r="AK52" s="74">
        <f>IFERROR(IF(AJ52&gt;0,AI52/AJ52,"-"),"-")</f>
        <v/>
      </c>
      <c r="AL52" s="75" t="n"/>
      <c r="AM52" s="74" t="n"/>
      <c r="AN52" s="74">
        <f>IFERROR(IF(AM52&gt;0,AL52/AM52,"-"),"-")</f>
        <v/>
      </c>
      <c r="AO52" s="75" t="n"/>
      <c r="AP52" s="74" t="n">
        <v>1</v>
      </c>
      <c r="AQ52" s="74">
        <f>IFERROR(IF(AP52&gt;0,AO52/AP52,"-"),"-")</f>
        <v/>
      </c>
      <c r="AR52" s="75" t="n"/>
      <c r="AS52" s="59" t="n"/>
      <c r="AT52" s="59" t="n"/>
    </row>
    <row r="53" ht="15" customHeight="1">
      <c r="A53" s="70" t="n">
        <v>41</v>
      </c>
      <c r="B53" s="71" t="inlineStr">
        <is>
          <t>Special Sets</t>
        </is>
      </c>
      <c r="C53" s="70" t="inlineStr">
        <is>
          <t>SP0001</t>
        </is>
      </c>
      <c r="D53" s="71" t="inlineStr">
        <is>
          <t>White Oud</t>
        </is>
      </c>
      <c r="E53" s="70" t="n">
        <v>4</v>
      </c>
      <c r="F53" s="72">
        <f>SUM(I53:AP53)</f>
        <v/>
      </c>
      <c r="G53" s="72">
        <f>SUM(J53:AQ53)</f>
        <v/>
      </c>
      <c r="H53" s="73">
        <f>IFERROR(IF(G53&gt;0,F53/G53,"-"),"-")</f>
        <v/>
      </c>
      <c r="I53" s="74" t="n"/>
      <c r="J53" s="74">
        <f>IFERROR(IF(I53&gt;0,H53/I53,"-"),"-")</f>
        <v/>
      </c>
      <c r="K53" s="75" t="n">
        <v>1</v>
      </c>
      <c r="L53" s="74" t="n"/>
      <c r="M53" s="74">
        <f>IFERROR(IF(L53&gt;0,K53/L53,"-"),"-")</f>
        <v/>
      </c>
      <c r="N53" s="75" t="n">
        <v>1</v>
      </c>
      <c r="O53" s="74" t="n">
        <v>1</v>
      </c>
      <c r="P53" s="74">
        <f>IFERROR(IF(O53&gt;0,N53/O53,"-"),"-")</f>
        <v/>
      </c>
      <c r="Q53" s="75" t="n"/>
      <c r="R53" s="74" t="n">
        <v>2</v>
      </c>
      <c r="S53" s="74">
        <f>IFERROR(IF(R53&gt;0,Q53/R53,"-"),"-")</f>
        <v/>
      </c>
      <c r="T53" s="75" t="n">
        <v>1</v>
      </c>
      <c r="U53" s="74" t="n"/>
      <c r="V53" s="74">
        <f>IFERROR(IF(U53&gt;0,T53/U53,"-"),"-")</f>
        <v/>
      </c>
      <c r="W53" s="75" t="n"/>
      <c r="X53" s="74" t="n">
        <v>1</v>
      </c>
      <c r="Y53" s="74">
        <f>IFERROR(IF(X53&gt;0,W53/X53,"-"),"-")</f>
        <v/>
      </c>
      <c r="Z53" s="75" t="n"/>
      <c r="AA53" s="74" t="n">
        <v>2</v>
      </c>
      <c r="AB53" s="74">
        <f>IFERROR(IF(AA53&gt;0,Z53/AA53,"-"),"-")</f>
        <v/>
      </c>
      <c r="AC53" s="75" t="n">
        <v>2</v>
      </c>
      <c r="AD53" s="74" t="n">
        <v>4</v>
      </c>
      <c r="AE53" s="74">
        <f>IFERROR(IF(AD53&gt;0,AC53/AD53,"-"),"-")</f>
        <v/>
      </c>
      <c r="AF53" s="75" t="n"/>
      <c r="AG53" s="74" t="n"/>
      <c r="AH53" s="74">
        <f>IFERROR(IF(AG53&gt;0,AF53/AG53,"-"),"-")</f>
        <v/>
      </c>
      <c r="AI53" s="75" t="n"/>
      <c r="AJ53" s="74" t="n"/>
      <c r="AK53" s="74">
        <f>IFERROR(IF(AJ53&gt;0,AI53/AJ53,"-"),"-")</f>
        <v/>
      </c>
      <c r="AL53" s="75" t="n">
        <v>1</v>
      </c>
      <c r="AM53" s="74" t="n"/>
      <c r="AN53" s="74">
        <f>IFERROR(IF(AM53&gt;0,AL53/AM53,"-"),"-")</f>
        <v/>
      </c>
      <c r="AO53" s="75" t="n">
        <v>2</v>
      </c>
      <c r="AP53" s="74" t="n"/>
      <c r="AQ53" s="74">
        <f>IFERROR(IF(AP53&gt;0,AO53/AP53,"-"),"-")</f>
        <v/>
      </c>
      <c r="AR53" s="75" t="n"/>
      <c r="AS53" s="60" t="n"/>
      <c r="AT53" s="60" t="n"/>
    </row>
    <row r="54" ht="15" customHeight="1">
      <c r="A54" s="70" t="n">
        <v>42</v>
      </c>
      <c r="B54" s="71" t="inlineStr">
        <is>
          <t>Special Sets</t>
        </is>
      </c>
      <c r="C54" s="70" t="inlineStr">
        <is>
          <t>SP0005</t>
        </is>
      </c>
      <c r="D54" s="71" t="inlineStr">
        <is>
          <t>No.4</t>
        </is>
      </c>
      <c r="E54" s="70" t="n"/>
      <c r="F54" s="72">
        <f>SUM(I54:AP54)</f>
        <v/>
      </c>
      <c r="G54" s="72">
        <f>SUM(J54:AQ54)</f>
        <v/>
      </c>
      <c r="H54" s="73">
        <f>IFERROR(IF(G54&gt;0,F54/G54,"-"),"-")</f>
        <v/>
      </c>
      <c r="I54" s="74" t="n">
        <v>2</v>
      </c>
      <c r="J54" s="74">
        <f>IFERROR(IF(I54&gt;0,H54/I54,"-"),"-")</f>
        <v/>
      </c>
      <c r="K54" s="75" t="n"/>
      <c r="L54" s="74" t="n"/>
      <c r="M54" s="74">
        <f>IFERROR(IF(L54&gt;0,K54/L54,"-"),"-")</f>
        <v/>
      </c>
      <c r="N54" s="75" t="n"/>
      <c r="O54" s="74" t="n">
        <v>1</v>
      </c>
      <c r="P54" s="74">
        <f>IFERROR(IF(O54&gt;0,N54/O54,"-"),"-")</f>
        <v/>
      </c>
      <c r="Q54" s="75" t="n"/>
      <c r="R54" s="74" t="n">
        <v>3</v>
      </c>
      <c r="S54" s="74">
        <f>IFERROR(IF(R54&gt;0,Q54/R54,"-"),"-")</f>
        <v/>
      </c>
      <c r="T54" s="75" t="n"/>
      <c r="U54" s="74" t="n">
        <v>3</v>
      </c>
      <c r="V54" s="74">
        <f>IFERROR(IF(U54&gt;0,T54/U54,"-"),"-")</f>
        <v/>
      </c>
      <c r="W54" s="75" t="n"/>
      <c r="X54" s="74" t="n">
        <v>4</v>
      </c>
      <c r="Y54" s="74">
        <f>IFERROR(IF(X54&gt;0,W54/X54,"-"),"-")</f>
        <v/>
      </c>
      <c r="Z54" s="75" t="n"/>
      <c r="AA54" s="74" t="n">
        <v>3</v>
      </c>
      <c r="AB54" s="74">
        <f>IFERROR(IF(AA54&gt;0,Z54/AA54,"-"),"-")</f>
        <v/>
      </c>
      <c r="AC54" s="75" t="n"/>
      <c r="AD54" s="74" t="n">
        <v>1</v>
      </c>
      <c r="AE54" s="74">
        <f>IFERROR(IF(AD54&gt;0,AC54/AD54,"-"),"-")</f>
        <v/>
      </c>
      <c r="AF54" s="75" t="n"/>
      <c r="AG54" s="74" t="n"/>
      <c r="AH54" s="74">
        <f>IFERROR(IF(AG54&gt;0,AF54/AG54,"-"),"-")</f>
        <v/>
      </c>
      <c r="AI54" s="75" t="n"/>
      <c r="AJ54" s="74" t="n">
        <v>4</v>
      </c>
      <c r="AK54" s="74">
        <f>IFERROR(IF(AJ54&gt;0,AI54/AJ54,"-"),"-")</f>
        <v/>
      </c>
      <c r="AL54" s="75" t="n"/>
      <c r="AM54" s="74" t="n">
        <v>1</v>
      </c>
      <c r="AN54" s="74">
        <f>IFERROR(IF(AM54&gt;0,AL54/AM54,"-"),"-")</f>
        <v/>
      </c>
      <c r="AO54" s="75" t="n"/>
      <c r="AP54" s="74" t="n">
        <v>3</v>
      </c>
      <c r="AQ54" s="74">
        <f>IFERROR(IF(AP54&gt;0,AO54/AP54,"-"),"-")</f>
        <v/>
      </c>
      <c r="AR54" s="75" t="n"/>
      <c r="AS54" s="60" t="n"/>
      <c r="AT54" s="60" t="n"/>
    </row>
    <row r="55" ht="15" customHeight="1">
      <c r="A55" s="70" t="n">
        <v>43</v>
      </c>
      <c r="B55" s="71" t="inlineStr">
        <is>
          <t>Special Sets</t>
        </is>
      </c>
      <c r="C55" s="70" t="inlineStr">
        <is>
          <t>SP0006</t>
        </is>
      </c>
      <c r="D55" s="71" t="inlineStr">
        <is>
          <t>More Of Oud</t>
        </is>
      </c>
      <c r="E55" s="70" t="n">
        <v>2</v>
      </c>
      <c r="F55" s="72">
        <f>SUM(I55:AP55)</f>
        <v/>
      </c>
      <c r="G55" s="72">
        <f>SUM(J55:AQ55)</f>
        <v/>
      </c>
      <c r="H55" s="73">
        <f>IFERROR(IF(G55&gt;0,F55/G55,"-"),"-")</f>
        <v/>
      </c>
      <c r="I55" s="74" t="n">
        <v>9</v>
      </c>
      <c r="J55" s="74">
        <f>IFERROR(IF(I55&gt;0,H55/I55,"-"),"-")</f>
        <v/>
      </c>
      <c r="K55" s="75" t="n">
        <v>3</v>
      </c>
      <c r="L55" s="74" t="n">
        <v>13</v>
      </c>
      <c r="M55" s="74">
        <f>IFERROR(IF(L55&gt;0,K55/L55,"-"),"-")</f>
        <v/>
      </c>
      <c r="N55" s="75" t="n">
        <v>1</v>
      </c>
      <c r="O55" s="74" t="n">
        <v>5</v>
      </c>
      <c r="P55" s="74">
        <f>IFERROR(IF(O55&gt;0,N55/O55,"-"),"-")</f>
        <v/>
      </c>
      <c r="Q55" s="75" t="n">
        <v>2</v>
      </c>
      <c r="R55" s="74" t="n">
        <v>10</v>
      </c>
      <c r="S55" s="74">
        <f>IFERROR(IF(R55&gt;0,Q55/R55,"-"),"-")</f>
        <v/>
      </c>
      <c r="T55" s="75" t="n">
        <v>2</v>
      </c>
      <c r="U55" s="74" t="n">
        <v>14</v>
      </c>
      <c r="V55" s="74">
        <f>IFERROR(IF(U55&gt;0,T55/U55,"-"),"-")</f>
        <v/>
      </c>
      <c r="W55" s="75" t="n">
        <v>1</v>
      </c>
      <c r="X55" s="74" t="n">
        <v>14</v>
      </c>
      <c r="Y55" s="74">
        <f>IFERROR(IF(X55&gt;0,W55/X55,"-"),"-")</f>
        <v/>
      </c>
      <c r="Z55" s="75" t="n">
        <v>3</v>
      </c>
      <c r="AA55" s="74" t="n">
        <v>20</v>
      </c>
      <c r="AB55" s="74">
        <f>IFERROR(IF(AA55&gt;0,Z55/AA55,"-"),"-")</f>
        <v/>
      </c>
      <c r="AC55" s="75" t="n">
        <v>2</v>
      </c>
      <c r="AD55" s="74" t="n">
        <v>25</v>
      </c>
      <c r="AE55" s="74">
        <f>IFERROR(IF(AD55&gt;0,AC55/AD55,"-"),"-")</f>
        <v/>
      </c>
      <c r="AF55" s="75" t="n"/>
      <c r="AG55" s="74" t="n"/>
      <c r="AH55" s="74">
        <f>IFERROR(IF(AG55&gt;0,AF55/AG55,"-"),"-")</f>
        <v/>
      </c>
      <c r="AI55" s="75" t="n">
        <v>1</v>
      </c>
      <c r="AJ55" s="74" t="n">
        <v>4</v>
      </c>
      <c r="AK55" s="74">
        <f>IFERROR(IF(AJ55&gt;0,AI55/AJ55,"-"),"-")</f>
        <v/>
      </c>
      <c r="AL55" s="75" t="n">
        <v>1</v>
      </c>
      <c r="AM55" s="74" t="n">
        <v>2</v>
      </c>
      <c r="AN55" s="74">
        <f>IFERROR(IF(AM55&gt;0,AL55/AM55,"-"),"-")</f>
        <v/>
      </c>
      <c r="AO55" s="75" t="n">
        <v>1</v>
      </c>
      <c r="AP55" s="74" t="n">
        <v>10</v>
      </c>
      <c r="AQ55" s="74">
        <f>IFERROR(IF(AP55&gt;0,AO55/AP55,"-"),"-")</f>
        <v/>
      </c>
      <c r="AR55" s="75" t="n">
        <v>1</v>
      </c>
      <c r="AS55" s="60" t="n"/>
      <c r="AT55" s="60" t="n"/>
    </row>
    <row r="56" ht="15" customHeight="1">
      <c r="A56" s="70" t="n">
        <v>44</v>
      </c>
      <c r="B56" s="71" t="inlineStr">
        <is>
          <t>Special Sets</t>
        </is>
      </c>
      <c r="C56" s="70" t="inlineStr">
        <is>
          <t>SP0007</t>
        </is>
      </c>
      <c r="D56" s="71" t="inlineStr">
        <is>
          <t>Reflection -T 100 ML</t>
        </is>
      </c>
      <c r="E56" s="70" t="n">
        <v>1</v>
      </c>
      <c r="F56" s="72">
        <f>SUM(I56:AP56)</f>
        <v/>
      </c>
      <c r="G56" s="72">
        <f>SUM(J56:AQ56)</f>
        <v/>
      </c>
      <c r="H56" s="73">
        <f>IFERROR(IF(G56&gt;0,F56/G56,"-"),"-")</f>
        <v/>
      </c>
      <c r="I56" s="74" t="n"/>
      <c r="J56" s="74">
        <f>IFERROR(IF(I56&gt;0,H56/I56,"-"),"-")</f>
        <v/>
      </c>
      <c r="K56" s="75" t="n"/>
      <c r="L56" s="74" t="n"/>
      <c r="M56" s="74">
        <f>IFERROR(IF(L56&gt;0,K56/L56,"-"),"-")</f>
        <v/>
      </c>
      <c r="N56" s="75" t="n"/>
      <c r="O56" s="74" t="n"/>
      <c r="P56" s="74">
        <f>IFERROR(IF(O56&gt;0,N56/O56,"-"),"-")</f>
        <v/>
      </c>
      <c r="Q56" s="75" t="n"/>
      <c r="R56" s="74" t="n"/>
      <c r="S56" s="74">
        <f>IFERROR(IF(R56&gt;0,Q56/R56,"-"),"-")</f>
        <v/>
      </c>
      <c r="T56" s="75" t="n"/>
      <c r="U56" s="74" t="n"/>
      <c r="V56" s="74">
        <f>IFERROR(IF(U56&gt;0,T56/U56,"-"),"-")</f>
        <v/>
      </c>
      <c r="W56" s="75" t="n"/>
      <c r="X56" s="74" t="n"/>
      <c r="Y56" s="74">
        <f>IFERROR(IF(X56&gt;0,W56/X56,"-"),"-")</f>
        <v/>
      </c>
      <c r="Z56" s="75" t="n"/>
      <c r="AA56" s="74" t="n"/>
      <c r="AB56" s="74">
        <f>IFERROR(IF(AA56&gt;0,Z56/AA56,"-"),"-")</f>
        <v/>
      </c>
      <c r="AC56" s="75" t="n"/>
      <c r="AD56" s="74" t="n"/>
      <c r="AE56" s="74">
        <f>IFERROR(IF(AD56&gt;0,AC56/AD56,"-"),"-")</f>
        <v/>
      </c>
      <c r="AF56" s="75" t="n"/>
      <c r="AG56" s="74" t="n"/>
      <c r="AH56" s="74">
        <f>IFERROR(IF(AG56&gt;0,AF56/AG56,"-"),"-")</f>
        <v/>
      </c>
      <c r="AI56" s="75" t="n"/>
      <c r="AJ56" s="74" t="n"/>
      <c r="AK56" s="74">
        <f>IFERROR(IF(AJ56&gt;0,AI56/AJ56,"-"),"-")</f>
        <v/>
      </c>
      <c r="AL56" s="75" t="n"/>
      <c r="AM56" s="74" t="n"/>
      <c r="AN56" s="74">
        <f>IFERROR(IF(AM56&gt;0,AL56/AM56,"-"),"-")</f>
        <v/>
      </c>
      <c r="AO56" s="75" t="n"/>
      <c r="AP56" s="74" t="n"/>
      <c r="AQ56" s="74">
        <f>IFERROR(IF(AP56&gt;0,AO56/AP56,"-"),"-")</f>
        <v/>
      </c>
      <c r="AR56" s="75" t="n"/>
      <c r="AS56" s="60" t="n"/>
      <c r="AT56" s="60" t="n"/>
    </row>
    <row r="57" ht="15" customHeight="1">
      <c r="A57" s="70" t="n">
        <v>45</v>
      </c>
      <c r="B57" s="71" t="inlineStr">
        <is>
          <t>Special Sets</t>
        </is>
      </c>
      <c r="C57" s="70" t="inlineStr">
        <is>
          <t>SP0017</t>
        </is>
      </c>
      <c r="D57" s="71" t="inlineStr">
        <is>
          <t>White Oud Oil 8ml</t>
        </is>
      </c>
      <c r="E57" s="70" t="n">
        <v>1</v>
      </c>
      <c r="F57" s="72">
        <f>SUM(I57:AP57)</f>
        <v/>
      </c>
      <c r="G57" s="72">
        <f>SUM(J57:AQ57)</f>
        <v/>
      </c>
      <c r="H57" s="73">
        <f>IFERROR(IF(G57&gt;0,F57/G57,"-"),"-")</f>
        <v/>
      </c>
      <c r="I57" s="74" t="n">
        <v>284</v>
      </c>
      <c r="J57" s="74">
        <f>IFERROR(IF(I57&gt;0,H57/I57,"-"),"-")</f>
        <v/>
      </c>
      <c r="K57" s="75" t="n"/>
      <c r="L57" s="74" t="n">
        <v>4</v>
      </c>
      <c r="M57" s="74">
        <f>IFERROR(IF(L57&gt;0,K57/L57,"-"),"-")</f>
        <v/>
      </c>
      <c r="N57" s="75" t="n"/>
      <c r="O57" s="74" t="n">
        <v>221</v>
      </c>
      <c r="P57" s="74">
        <f>IFERROR(IF(O57&gt;0,N57/O57,"-"),"-")</f>
        <v/>
      </c>
      <c r="Q57" s="75" t="n"/>
      <c r="R57" s="74" t="n">
        <v>374</v>
      </c>
      <c r="S57" s="74">
        <f>IFERROR(IF(R57&gt;0,Q57/R57,"-"),"-")</f>
        <v/>
      </c>
      <c r="T57" s="75" t="n"/>
      <c r="U57" s="74" t="n">
        <v>402</v>
      </c>
      <c r="V57" s="74">
        <f>IFERROR(IF(U57&gt;0,T57/U57,"-"),"-")</f>
        <v/>
      </c>
      <c r="W57" s="75" t="n"/>
      <c r="X57" s="74" t="n">
        <v>643</v>
      </c>
      <c r="Y57" s="74">
        <f>IFERROR(IF(X57&gt;0,W57/X57,"-"),"-")</f>
        <v/>
      </c>
      <c r="Z57" s="75" t="n"/>
      <c r="AA57" s="74" t="n">
        <v>698</v>
      </c>
      <c r="AB57" s="74">
        <f>IFERROR(IF(AA57&gt;0,Z57/AA57,"-"),"-")</f>
        <v/>
      </c>
      <c r="AC57" s="75" t="n"/>
      <c r="AD57" s="74" t="n">
        <v>760</v>
      </c>
      <c r="AE57" s="74">
        <f>IFERROR(IF(AD57&gt;0,AC57/AD57,"-"),"-")</f>
        <v/>
      </c>
      <c r="AF57" s="75" t="n"/>
      <c r="AG57" s="74" t="n"/>
      <c r="AH57" s="74">
        <f>IFERROR(IF(AG57&gt;0,AF57/AG57,"-"),"-")</f>
        <v/>
      </c>
      <c r="AI57" s="75" t="n"/>
      <c r="AJ57" s="74" t="n">
        <v>338</v>
      </c>
      <c r="AK57" s="74">
        <f>IFERROR(IF(AJ57&gt;0,AI57/AJ57,"-"),"-")</f>
        <v/>
      </c>
      <c r="AL57" s="75" t="n"/>
      <c r="AM57" s="74" t="n">
        <v>249</v>
      </c>
      <c r="AN57" s="74">
        <f>IFERROR(IF(AM57&gt;0,AL57/AM57,"-"),"-")</f>
        <v/>
      </c>
      <c r="AO57" s="75" t="n"/>
      <c r="AP57" s="74" t="n">
        <v>375</v>
      </c>
      <c r="AQ57" s="74">
        <f>IFERROR(IF(AP57&gt;0,AO57/AP57,"-"),"-")</f>
        <v/>
      </c>
      <c r="AR57" s="75" t="n"/>
      <c r="AS57" s="60" t="n"/>
      <c r="AT57" s="60" t="n"/>
    </row>
    <row r="58" ht="15" customHeight="1">
      <c r="A58" s="70" t="n">
        <v>46</v>
      </c>
      <c r="B58" s="71" t="inlineStr">
        <is>
          <t>Special Sets</t>
        </is>
      </c>
      <c r="C58" s="70" t="inlineStr">
        <is>
          <t>SP0018</t>
        </is>
      </c>
      <c r="D58" s="71" t="inlineStr">
        <is>
          <t>More Of Oud Oil 8ml</t>
        </is>
      </c>
      <c r="E58" s="70" t="n"/>
      <c r="F58" s="72">
        <f>SUM(I58:AP58)</f>
        <v/>
      </c>
      <c r="G58" s="72">
        <f>SUM(J58:AQ58)</f>
        <v/>
      </c>
      <c r="H58" s="73">
        <f>IFERROR(IF(G58&gt;0,F58/G58,"-"),"-")</f>
        <v/>
      </c>
      <c r="I58" s="74" t="n"/>
      <c r="J58" s="74">
        <f>IFERROR(IF(I58&gt;0,H58/I58,"-"),"-")</f>
        <v/>
      </c>
      <c r="K58" s="75" t="n">
        <v>1</v>
      </c>
      <c r="L58" s="74" t="n"/>
      <c r="M58" s="74">
        <f>IFERROR(IF(L58&gt;0,K58/L58,"-"),"-")</f>
        <v/>
      </c>
      <c r="N58" s="75" t="n">
        <v>1</v>
      </c>
      <c r="O58" s="74" t="n"/>
      <c r="P58" s="74">
        <f>IFERROR(IF(O58&gt;0,N58/O58,"-"),"-")</f>
        <v/>
      </c>
      <c r="Q58" s="75" t="n"/>
      <c r="R58" s="74" t="n"/>
      <c r="S58" s="74">
        <f>IFERROR(IF(R58&gt;0,Q58/R58,"-"),"-")</f>
        <v/>
      </c>
      <c r="T58" s="75" t="n"/>
      <c r="U58" s="74" t="n"/>
      <c r="V58" s="74">
        <f>IFERROR(IF(U58&gt;0,T58/U58,"-"),"-")</f>
        <v/>
      </c>
      <c r="W58" s="75" t="n"/>
      <c r="X58" s="74" t="n"/>
      <c r="Y58" s="74">
        <f>IFERROR(IF(X58&gt;0,W58/X58,"-"),"-")</f>
        <v/>
      </c>
      <c r="Z58" s="75" t="n"/>
      <c r="AA58" s="74" t="n"/>
      <c r="AB58" s="74">
        <f>IFERROR(IF(AA58&gt;0,Z58/AA58,"-"),"-")</f>
        <v/>
      </c>
      <c r="AC58" s="75" t="n"/>
      <c r="AD58" s="74" t="n"/>
      <c r="AE58" s="74">
        <f>IFERROR(IF(AD58&gt;0,AC58/AD58,"-"),"-")</f>
        <v/>
      </c>
      <c r="AF58" s="75" t="n"/>
      <c r="AG58" s="74" t="n"/>
      <c r="AH58" s="74">
        <f>IFERROR(IF(AG58&gt;0,AF58/AG58,"-"),"-")</f>
        <v/>
      </c>
      <c r="AI58" s="75" t="n"/>
      <c r="AJ58" s="74" t="n"/>
      <c r="AK58" s="74">
        <f>IFERROR(IF(AJ58&gt;0,AI58/AJ58,"-"),"-")</f>
        <v/>
      </c>
      <c r="AL58" s="75" t="n"/>
      <c r="AM58" s="74" t="n"/>
      <c r="AN58" s="74">
        <f>IFERROR(IF(AM58&gt;0,AL58/AM58,"-"),"-")</f>
        <v/>
      </c>
      <c r="AO58" s="75" t="n"/>
      <c r="AP58" s="74" t="n"/>
      <c r="AQ58" s="74">
        <f>IFERROR(IF(AP58&gt;0,AO58/AP58,"-"),"-")</f>
        <v/>
      </c>
      <c r="AR58" s="75" t="n"/>
      <c r="AS58" s="60" t="n"/>
      <c r="AT58" s="60" t="n"/>
    </row>
    <row r="59" ht="15" customHeight="1">
      <c r="A59" s="76" t="inlineStr">
        <is>
          <t xml:space="preserve">  OILS &amp; CPO</t>
        </is>
      </c>
      <c r="B59" s="77" t="n"/>
      <c r="C59" s="77" t="n"/>
      <c r="D59" s="77" t="n"/>
      <c r="E59" s="77" t="n">
        <v>1</v>
      </c>
      <c r="F59" s="72">
        <f>SUM(I59:AP59)</f>
        <v/>
      </c>
      <c r="G59" s="72">
        <f>SUM(J59:AQ59)</f>
        <v/>
      </c>
      <c r="H59" s="73">
        <f>IFERROR(IF(G59&gt;0,F59/G59,"-"),"-")</f>
        <v/>
      </c>
      <c r="I59" s="74" t="n"/>
      <c r="J59" s="74">
        <f>IFERROR(IF(I59&gt;0,H59/I59,"-"),"-")</f>
        <v/>
      </c>
      <c r="K59" s="75" t="n"/>
      <c r="L59" s="74" t="n"/>
      <c r="M59" s="74">
        <f>IFERROR(IF(L59&gt;0,K59/L59,"-"),"-")</f>
        <v/>
      </c>
      <c r="N59" s="75" t="n"/>
      <c r="O59" s="74" t="n">
        <v>3</v>
      </c>
      <c r="P59" s="74">
        <f>IFERROR(IF(O59&gt;0,N59/O59,"-"),"-")</f>
        <v/>
      </c>
      <c r="Q59" s="75" t="n"/>
      <c r="R59" s="74" t="n">
        <v>2</v>
      </c>
      <c r="S59" s="74">
        <f>IFERROR(IF(R59&gt;0,Q59/R59,"-"),"-")</f>
        <v/>
      </c>
      <c r="T59" s="75" t="n"/>
      <c r="U59" s="74" t="n">
        <v>3</v>
      </c>
      <c r="V59" s="74">
        <f>IFERROR(IF(U59&gt;0,T59/U59,"-"),"-")</f>
        <v/>
      </c>
      <c r="W59" s="75" t="n"/>
      <c r="X59" s="74" t="n">
        <v>1</v>
      </c>
      <c r="Y59" s="74">
        <f>IFERROR(IF(X59&gt;0,W59/X59,"-"),"-")</f>
        <v/>
      </c>
      <c r="Z59" s="75" t="n"/>
      <c r="AA59" s="74" t="n">
        <v>5</v>
      </c>
      <c r="AB59" s="74">
        <f>IFERROR(IF(AA59&gt;0,Z59/AA59,"-"),"-")</f>
        <v/>
      </c>
      <c r="AC59" s="75" t="n"/>
      <c r="AD59" s="74" t="n">
        <v>3</v>
      </c>
      <c r="AE59" s="74">
        <f>IFERROR(IF(AD59&gt;0,AC59/AD59,"-"),"-")</f>
        <v/>
      </c>
      <c r="AF59" s="75" t="n"/>
      <c r="AG59" s="74" t="n"/>
      <c r="AH59" s="74">
        <f>IFERROR(IF(AG59&gt;0,AF59/AG59,"-"),"-")</f>
        <v/>
      </c>
      <c r="AI59" s="75" t="n"/>
      <c r="AJ59" s="74" t="n">
        <v>4</v>
      </c>
      <c r="AK59" s="74">
        <f>IFERROR(IF(AJ59&gt;0,AI59/AJ59,"-"),"-")</f>
        <v/>
      </c>
      <c r="AL59" s="75" t="n"/>
      <c r="AM59" s="74" t="n">
        <v>1</v>
      </c>
      <c r="AN59" s="74">
        <f>IFERROR(IF(AM59&gt;0,AL59/AM59,"-"),"-")</f>
        <v/>
      </c>
      <c r="AO59" s="75" t="n"/>
      <c r="AP59" s="74" t="n">
        <v>1</v>
      </c>
      <c r="AQ59" s="74">
        <f>IFERROR(IF(AP59&gt;0,AO59/AP59,"-"),"-")</f>
        <v/>
      </c>
      <c r="AR59" s="75" t="n"/>
      <c r="AS59" s="59" t="n"/>
      <c r="AT59" s="59" t="n"/>
    </row>
    <row r="60" ht="15" customHeight="1">
      <c r="A60" s="70" t="n">
        <v>47</v>
      </c>
      <c r="B60" s="71" t="inlineStr">
        <is>
          <t>Oils &amp; CPO</t>
        </is>
      </c>
      <c r="C60" s="70" t="inlineStr">
        <is>
          <t>I00001</t>
        </is>
      </c>
      <c r="D60" s="71" t="inlineStr">
        <is>
          <t>Hindi Special</t>
        </is>
      </c>
      <c r="E60" s="70" t="n">
        <v>4</v>
      </c>
      <c r="F60" s="72">
        <f>SUM(I60:AP60)</f>
        <v/>
      </c>
      <c r="G60" s="72">
        <f>SUM(J60:AQ60)</f>
        <v/>
      </c>
      <c r="H60" s="73">
        <f>IFERROR(IF(G60&gt;0,F60/G60,"-"),"-")</f>
        <v/>
      </c>
      <c r="I60" s="74" t="n">
        <v>3</v>
      </c>
      <c r="J60" s="74">
        <f>IFERROR(IF(I60&gt;0,H60/I60,"-"),"-")</f>
        <v/>
      </c>
      <c r="K60" s="75" t="n"/>
      <c r="L60" s="74" t="n"/>
      <c r="M60" s="74">
        <f>IFERROR(IF(L60&gt;0,K60/L60,"-"),"-")</f>
        <v/>
      </c>
      <c r="N60" s="75" t="n">
        <v>1</v>
      </c>
      <c r="O60" s="74" t="n">
        <v>4</v>
      </c>
      <c r="P60" s="74">
        <f>IFERROR(IF(O60&gt;0,N60/O60,"-"),"-")</f>
        <v/>
      </c>
      <c r="Q60" s="75" t="n">
        <v>1</v>
      </c>
      <c r="R60" s="74" t="n">
        <v>10</v>
      </c>
      <c r="S60" s="74">
        <f>IFERROR(IF(R60&gt;0,Q60/R60,"-"),"-")</f>
        <v/>
      </c>
      <c r="T60" s="75" t="n">
        <v>1</v>
      </c>
      <c r="U60" s="74" t="n">
        <v>12</v>
      </c>
      <c r="V60" s="74">
        <f>IFERROR(IF(U60&gt;0,T60/U60,"-"),"-")</f>
        <v/>
      </c>
      <c r="W60" s="75" t="n">
        <v>1</v>
      </c>
      <c r="X60" s="74" t="n">
        <v>18</v>
      </c>
      <c r="Y60" s="74">
        <f>IFERROR(IF(X60&gt;0,W60/X60,"-"),"-")</f>
        <v/>
      </c>
      <c r="Z60" s="75" t="n">
        <v>7</v>
      </c>
      <c r="AA60" s="74" t="n">
        <v>33</v>
      </c>
      <c r="AB60" s="74">
        <f>IFERROR(IF(AA60&gt;0,Z60/AA60,"-"),"-")</f>
        <v/>
      </c>
      <c r="AC60" s="75" t="n">
        <v>1</v>
      </c>
      <c r="AD60" s="74" t="n">
        <v>22</v>
      </c>
      <c r="AE60" s="74">
        <f>IFERROR(IF(AD60&gt;0,AC60/AD60,"-"),"-")</f>
        <v/>
      </c>
      <c r="AF60" s="75" t="n"/>
      <c r="AG60" s="74" t="n"/>
      <c r="AH60" s="74">
        <f>IFERROR(IF(AG60&gt;0,AF60/AG60,"-"),"-")</f>
        <v/>
      </c>
      <c r="AI60" s="75" t="n">
        <v>2</v>
      </c>
      <c r="AJ60" s="74" t="n">
        <v>10</v>
      </c>
      <c r="AK60" s="74">
        <f>IFERROR(IF(AJ60&gt;0,AI60/AJ60,"-"),"-")</f>
        <v/>
      </c>
      <c r="AL60" s="75" t="n"/>
      <c r="AM60" s="74" t="n">
        <v>6</v>
      </c>
      <c r="AN60" s="74">
        <f>IFERROR(IF(AM60&gt;0,AL60/AM60,"-"),"-")</f>
        <v/>
      </c>
      <c r="AO60" s="75" t="n">
        <v>1</v>
      </c>
      <c r="AP60" s="74" t="n">
        <v>11</v>
      </c>
      <c r="AQ60" s="74">
        <f>IFERROR(IF(AP60&gt;0,AO60/AP60,"-"),"-")</f>
        <v/>
      </c>
      <c r="AR60" s="75" t="n">
        <v>1</v>
      </c>
      <c r="AS60" s="60" t="n"/>
      <c r="AT60" s="60" t="n"/>
    </row>
    <row r="61" ht="15" customHeight="1">
      <c r="A61" s="70" t="n">
        <v>48</v>
      </c>
      <c r="B61" s="71" t="inlineStr">
        <is>
          <t>Oils &amp; CPO</t>
        </is>
      </c>
      <c r="C61" s="70" t="inlineStr">
        <is>
          <t>I00002</t>
        </is>
      </c>
      <c r="D61" s="71" t="inlineStr">
        <is>
          <t>Seufi Special</t>
        </is>
      </c>
      <c r="E61" s="70" t="n"/>
      <c r="F61" s="72">
        <f>SUM(I61:AP61)</f>
        <v/>
      </c>
      <c r="G61" s="72">
        <f>SUM(J61:AQ61)</f>
        <v/>
      </c>
      <c r="H61" s="73">
        <f>IFERROR(IF(G61&gt;0,F61/G61,"-"),"-")</f>
        <v/>
      </c>
      <c r="I61" s="74" t="n"/>
      <c r="J61" s="74">
        <f>IFERROR(IF(I61&gt;0,H61/I61,"-"),"-")</f>
        <v/>
      </c>
      <c r="K61" s="75" t="n"/>
      <c r="L61" s="74" t="n"/>
      <c r="M61" s="74">
        <f>IFERROR(IF(L61&gt;0,K61/L61,"-"),"-")</f>
        <v/>
      </c>
      <c r="N61" s="75" t="n"/>
      <c r="O61" s="74" t="n"/>
      <c r="P61" s="74">
        <f>IFERROR(IF(O61&gt;0,N61/O61,"-"),"-")</f>
        <v/>
      </c>
      <c r="Q61" s="75" t="n"/>
      <c r="R61" s="74" t="n"/>
      <c r="S61" s="74">
        <f>IFERROR(IF(R61&gt;0,Q61/R61,"-"),"-")</f>
        <v/>
      </c>
      <c r="T61" s="75" t="n">
        <v>1</v>
      </c>
      <c r="U61" s="74" t="n"/>
      <c r="V61" s="74">
        <f>IFERROR(IF(U61&gt;0,T61/U61,"-"),"-")</f>
        <v/>
      </c>
      <c r="W61" s="75" t="n">
        <v>2</v>
      </c>
      <c r="X61" s="74" t="n"/>
      <c r="Y61" s="74">
        <f>IFERROR(IF(X61&gt;0,W61/X61,"-"),"-")</f>
        <v/>
      </c>
      <c r="Z61" s="75" t="n"/>
      <c r="AA61" s="74" t="n"/>
      <c r="AB61" s="74">
        <f>IFERROR(IF(AA61&gt;0,Z61/AA61,"-"),"-")</f>
        <v/>
      </c>
      <c r="AC61" s="75" t="n"/>
      <c r="AD61" s="74" t="n"/>
      <c r="AE61" s="74">
        <f>IFERROR(IF(AD61&gt;0,AC61/AD61,"-"),"-")</f>
        <v/>
      </c>
      <c r="AF61" s="75" t="n"/>
      <c r="AG61" s="74" t="n"/>
      <c r="AH61" s="74">
        <f>IFERROR(IF(AG61&gt;0,AF61/AG61,"-"),"-")</f>
        <v/>
      </c>
      <c r="AI61" s="75" t="n"/>
      <c r="AJ61" s="74" t="n"/>
      <c r="AK61" s="74">
        <f>IFERROR(IF(AJ61&gt;0,AI61/AJ61,"-"),"-")</f>
        <v/>
      </c>
      <c r="AL61" s="75" t="n"/>
      <c r="AM61" s="74" t="n"/>
      <c r="AN61" s="74">
        <f>IFERROR(IF(AM61&gt;0,AL61/AM61,"-"),"-")</f>
        <v/>
      </c>
      <c r="AO61" s="75" t="n"/>
      <c r="AP61" s="74" t="n"/>
      <c r="AQ61" s="74">
        <f>IFERROR(IF(AP61&gt;0,AO61/AP61,"-"),"-")</f>
        <v/>
      </c>
      <c r="AR61" s="75" t="n"/>
      <c r="AS61" s="60" t="n"/>
      <c r="AT61" s="60" t="n"/>
    </row>
    <row r="62" ht="15" customHeight="1">
      <c r="A62" s="70" t="n">
        <v>49</v>
      </c>
      <c r="B62" s="71" t="inlineStr">
        <is>
          <t>Oils &amp; CPO</t>
        </is>
      </c>
      <c r="C62" s="70" t="inlineStr">
        <is>
          <t>I00003</t>
        </is>
      </c>
      <c r="D62" s="71" t="inlineStr">
        <is>
          <t>White Oil -8 ML</t>
        </is>
      </c>
      <c r="E62" s="70" t="n">
        <v>2</v>
      </c>
      <c r="F62" s="72">
        <f>SUM(I62:AP62)</f>
        <v/>
      </c>
      <c r="G62" s="72">
        <f>SUM(J62:AQ62)</f>
        <v/>
      </c>
      <c r="H62" s="73">
        <f>IFERROR(IF(G62&gt;0,F62/G62,"-"),"-")</f>
        <v/>
      </c>
      <c r="I62" s="74" t="n"/>
      <c r="J62" s="74">
        <f>IFERROR(IF(I62&gt;0,H62/I62,"-"),"-")</f>
        <v/>
      </c>
      <c r="K62" s="75" t="n"/>
      <c r="L62" s="74" t="n"/>
      <c r="M62" s="74">
        <f>IFERROR(IF(L62&gt;0,K62/L62,"-"),"-")</f>
        <v/>
      </c>
      <c r="N62" s="75" t="n"/>
      <c r="O62" s="74" t="n"/>
      <c r="P62" s="74">
        <f>IFERROR(IF(O62&gt;0,N62/O62,"-"),"-")</f>
        <v/>
      </c>
      <c r="Q62" s="75" t="n">
        <v>1</v>
      </c>
      <c r="R62" s="74" t="n">
        <v>3</v>
      </c>
      <c r="S62" s="74">
        <f>IFERROR(IF(R62&gt;0,Q62/R62,"-"),"-")</f>
        <v/>
      </c>
      <c r="T62" s="75" t="n"/>
      <c r="U62" s="74" t="n"/>
      <c r="V62" s="74">
        <f>IFERROR(IF(U62&gt;0,T62/U62,"-"),"-")</f>
        <v/>
      </c>
      <c r="W62" s="75" t="n"/>
      <c r="X62" s="74" t="n"/>
      <c r="Y62" s="74">
        <f>IFERROR(IF(X62&gt;0,W62/X62,"-"),"-")</f>
        <v/>
      </c>
      <c r="Z62" s="75" t="n"/>
      <c r="AA62" s="74" t="n"/>
      <c r="AB62" s="74">
        <f>IFERROR(IF(AA62&gt;0,Z62/AA62,"-"),"-")</f>
        <v/>
      </c>
      <c r="AC62" s="75" t="n"/>
      <c r="AD62" s="74" t="n"/>
      <c r="AE62" s="74">
        <f>IFERROR(IF(AD62&gt;0,AC62/AD62,"-"),"-")</f>
        <v/>
      </c>
      <c r="AF62" s="75" t="n"/>
      <c r="AG62" s="74" t="n"/>
      <c r="AH62" s="74">
        <f>IFERROR(IF(AG62&gt;0,AF62/AG62,"-"),"-")</f>
        <v/>
      </c>
      <c r="AI62" s="75" t="n">
        <v>1</v>
      </c>
      <c r="AJ62" s="74" t="n"/>
      <c r="AK62" s="74">
        <f>IFERROR(IF(AJ62&gt;0,AI62/AJ62,"-"),"-")</f>
        <v/>
      </c>
      <c r="AL62" s="75" t="n"/>
      <c r="AM62" s="74" t="n"/>
      <c r="AN62" s="74">
        <f>IFERROR(IF(AM62&gt;0,AL62/AM62,"-"),"-")</f>
        <v/>
      </c>
      <c r="AO62" s="75" t="n"/>
      <c r="AP62" s="74" t="n"/>
      <c r="AQ62" s="74">
        <f>IFERROR(IF(AP62&gt;0,AO62/AP62,"-"),"-")</f>
        <v/>
      </c>
      <c r="AR62" s="75" t="n"/>
      <c r="AS62" s="60" t="n"/>
      <c r="AT62" s="60" t="n"/>
    </row>
    <row r="63" ht="15" customHeight="1">
      <c r="A63" s="70" t="n">
        <v>50</v>
      </c>
      <c r="B63" s="71" t="inlineStr">
        <is>
          <t>Oils &amp; CPO</t>
        </is>
      </c>
      <c r="C63" s="70" t="inlineStr">
        <is>
          <t>I00004</t>
        </is>
      </c>
      <c r="D63" s="71" t="inlineStr">
        <is>
          <t>Maroon Oil - 8 ML</t>
        </is>
      </c>
      <c r="E63" s="70" t="n">
        <v>1</v>
      </c>
      <c r="F63" s="72">
        <f>SUM(I63:AP63)</f>
        <v/>
      </c>
      <c r="G63" s="72">
        <f>SUM(J63:AQ63)</f>
        <v/>
      </c>
      <c r="H63" s="73">
        <f>IFERROR(IF(G63&gt;0,F63/G63,"-"),"-")</f>
        <v/>
      </c>
      <c r="I63" s="74" t="n"/>
      <c r="J63" s="74">
        <f>IFERROR(IF(I63&gt;0,H63/I63,"-"),"-")</f>
        <v/>
      </c>
      <c r="K63" s="75" t="n"/>
      <c r="L63" s="74" t="n"/>
      <c r="M63" s="74">
        <f>IFERROR(IF(L63&gt;0,K63/L63,"-"),"-")</f>
        <v/>
      </c>
      <c r="N63" s="75" t="n"/>
      <c r="O63" s="74" t="n"/>
      <c r="P63" s="74">
        <f>IFERROR(IF(O63&gt;0,N63/O63,"-"),"-")</f>
        <v/>
      </c>
      <c r="Q63" s="75" t="n"/>
      <c r="R63" s="74" t="n"/>
      <c r="S63" s="74">
        <f>IFERROR(IF(R63&gt;0,Q63/R63,"-"),"-")</f>
        <v/>
      </c>
      <c r="T63" s="75" t="n"/>
      <c r="U63" s="74" t="n"/>
      <c r="V63" s="74">
        <f>IFERROR(IF(U63&gt;0,T63/U63,"-"),"-")</f>
        <v/>
      </c>
      <c r="W63" s="75" t="n"/>
      <c r="X63" s="74" t="n"/>
      <c r="Y63" s="74">
        <f>IFERROR(IF(X63&gt;0,W63/X63,"-"),"-")</f>
        <v/>
      </c>
      <c r="Z63" s="75" t="n"/>
      <c r="AA63" s="74" t="n">
        <v>2</v>
      </c>
      <c r="AB63" s="74">
        <f>IFERROR(IF(AA63&gt;0,Z63/AA63,"-"),"-")</f>
        <v/>
      </c>
      <c r="AC63" s="75" t="n"/>
      <c r="AD63" s="74" t="n">
        <v>2</v>
      </c>
      <c r="AE63" s="74">
        <f>IFERROR(IF(AD63&gt;0,AC63/AD63,"-"),"-")</f>
        <v/>
      </c>
      <c r="AF63" s="75" t="n"/>
      <c r="AG63" s="74" t="n"/>
      <c r="AH63" s="74">
        <f>IFERROR(IF(AG63&gt;0,AF63/AG63,"-"),"-")</f>
        <v/>
      </c>
      <c r="AI63" s="75" t="n">
        <v>1</v>
      </c>
      <c r="AJ63" s="74" t="n"/>
      <c r="AK63" s="74">
        <f>IFERROR(IF(AJ63&gt;0,AI63/AJ63,"-"),"-")</f>
        <v/>
      </c>
      <c r="AL63" s="75" t="n">
        <v>1</v>
      </c>
      <c r="AM63" s="74" t="n">
        <v>1</v>
      </c>
      <c r="AN63" s="74">
        <f>IFERROR(IF(AM63&gt;0,AL63/AM63,"-"),"-")</f>
        <v/>
      </c>
      <c r="AO63" s="75" t="n">
        <v>1</v>
      </c>
      <c r="AP63" s="74" t="n"/>
      <c r="AQ63" s="74">
        <f>IFERROR(IF(AP63&gt;0,AO63/AP63,"-"),"-")</f>
        <v/>
      </c>
      <c r="AR63" s="75" t="n">
        <v>1</v>
      </c>
      <c r="AS63" s="60" t="n"/>
      <c r="AT63" s="60" t="n"/>
    </row>
    <row r="64" ht="15" customHeight="1">
      <c r="A64" s="70" t="n">
        <v>51</v>
      </c>
      <c r="B64" s="71" t="inlineStr">
        <is>
          <t>Oils &amp; CPO</t>
        </is>
      </c>
      <c r="C64" s="70" t="inlineStr">
        <is>
          <t>I00005</t>
        </is>
      </c>
      <c r="D64" s="71" t="inlineStr">
        <is>
          <t>NO.4 Oil -8 ML</t>
        </is>
      </c>
      <c r="E64" s="70" t="n"/>
      <c r="F64" s="72">
        <f>SUM(I64:AP64)</f>
        <v/>
      </c>
      <c r="G64" s="72">
        <f>SUM(J64:AQ64)</f>
        <v/>
      </c>
      <c r="H64" s="73">
        <f>IFERROR(IF(G64&gt;0,F64/G64,"-"),"-")</f>
        <v/>
      </c>
      <c r="I64" s="74" t="n"/>
      <c r="J64" s="74">
        <f>IFERROR(IF(I64&gt;0,H64/I64,"-"),"-")</f>
        <v/>
      </c>
      <c r="K64" s="75" t="n"/>
      <c r="L64" s="74" t="n"/>
      <c r="M64" s="74">
        <f>IFERROR(IF(L64&gt;0,K64/L64,"-"),"-")</f>
        <v/>
      </c>
      <c r="N64" s="75" t="n"/>
      <c r="O64" s="74" t="n"/>
      <c r="P64" s="74">
        <f>IFERROR(IF(O64&gt;0,N64/O64,"-"),"-")</f>
        <v/>
      </c>
      <c r="Q64" s="75" t="n"/>
      <c r="R64" s="74" t="n"/>
      <c r="S64" s="74">
        <f>IFERROR(IF(R64&gt;0,Q64/R64,"-"),"-")</f>
        <v/>
      </c>
      <c r="T64" s="75" t="n"/>
      <c r="U64" s="74" t="n"/>
      <c r="V64" s="74">
        <f>IFERROR(IF(U64&gt;0,T64/U64,"-"),"-")</f>
        <v/>
      </c>
      <c r="W64" s="75" t="n"/>
      <c r="X64" s="74" t="n"/>
      <c r="Y64" s="74">
        <f>IFERROR(IF(X64&gt;0,W64/X64,"-"),"-")</f>
        <v/>
      </c>
      <c r="Z64" s="75" t="n"/>
      <c r="AA64" s="74" t="n"/>
      <c r="AB64" s="74">
        <f>IFERROR(IF(AA64&gt;0,Z64/AA64,"-"),"-")</f>
        <v/>
      </c>
      <c r="AC64" s="75" t="n"/>
      <c r="AD64" s="74" t="n"/>
      <c r="AE64" s="74">
        <f>IFERROR(IF(AD64&gt;0,AC64/AD64,"-"),"-")</f>
        <v/>
      </c>
      <c r="AF64" s="75" t="n"/>
      <c r="AG64" s="74" t="n"/>
      <c r="AH64" s="74">
        <f>IFERROR(IF(AG64&gt;0,AF64/AG64,"-"),"-")</f>
        <v/>
      </c>
      <c r="AI64" s="75" t="n"/>
      <c r="AJ64" s="74" t="n"/>
      <c r="AK64" s="74">
        <f>IFERROR(IF(AJ64&gt;0,AI64/AJ64,"-"),"-")</f>
        <v/>
      </c>
      <c r="AL64" s="75" t="n"/>
      <c r="AM64" s="74" t="n"/>
      <c r="AN64" s="74">
        <f>IFERROR(IF(AM64&gt;0,AL64/AM64,"-"),"-")</f>
        <v/>
      </c>
      <c r="AO64" s="75" t="n"/>
      <c r="AP64" s="74" t="n"/>
      <c r="AQ64" s="74">
        <f>IFERROR(IF(AP64&gt;0,AO64/AP64,"-"),"-")</f>
        <v/>
      </c>
      <c r="AR64" s="75" t="n"/>
      <c r="AS64" s="60" t="n"/>
      <c r="AT64" s="60" t="n"/>
    </row>
    <row r="65" ht="15" customHeight="1">
      <c r="A65" s="60" t="n"/>
      <c r="B65" s="69" t="n"/>
      <c r="C65" s="60" t="n"/>
      <c r="D65" s="69" t="n"/>
      <c r="E65" s="60" t="n"/>
      <c r="F65" s="60" t="n"/>
      <c r="G65" s="60" t="n"/>
      <c r="H65" s="60" t="n"/>
      <c r="I65" s="60" t="n"/>
      <c r="J65" s="60" t="n"/>
      <c r="K65" s="60" t="n"/>
      <c r="L65" s="60" t="n"/>
      <c r="M65" s="60" t="n"/>
      <c r="N65" s="60" t="n"/>
      <c r="O65" s="60" t="n"/>
      <c r="P65" s="60" t="n"/>
      <c r="Q65" s="60" t="n"/>
      <c r="R65" s="60" t="n"/>
      <c r="S65" s="60" t="n"/>
      <c r="T65" s="60" t="n"/>
      <c r="U65" s="60" t="n"/>
      <c r="V65" s="60" t="n"/>
      <c r="W65" s="60" t="n"/>
      <c r="X65" s="60" t="n"/>
      <c r="Y65" s="60" t="n"/>
      <c r="Z65" s="60" t="n"/>
      <c r="AA65" s="60" t="n"/>
      <c r="AB65" s="60" t="n"/>
      <c r="AC65" s="60" t="n"/>
      <c r="AD65" s="60" t="n"/>
      <c r="AE65" s="60" t="n"/>
      <c r="AF65" s="60" t="n"/>
      <c r="AG65" s="60" t="n"/>
      <c r="AH65" s="60" t="n"/>
      <c r="AI65" s="60" t="n"/>
      <c r="AJ65" s="60" t="n"/>
      <c r="AK65" s="60" t="n"/>
      <c r="AL65" s="60" t="n"/>
      <c r="AM65" s="60" t="n"/>
      <c r="AN65" s="60" t="n"/>
      <c r="AO65" s="60" t="n"/>
      <c r="AP65" s="60" t="n"/>
      <c r="AQ65" s="60" t="n"/>
      <c r="AR65" s="60" t="n"/>
      <c r="AS65" s="60" t="n"/>
      <c r="AT65" s="60" t="n"/>
    </row>
    <row r="66" ht="15" customHeight="1">
      <c r="A66" s="60" t="n"/>
      <c r="B66" s="69" t="n"/>
      <c r="C66" s="60" t="n"/>
      <c r="D66" s="69" t="n"/>
      <c r="E66" s="60" t="n"/>
      <c r="F66" s="60" t="n"/>
      <c r="G66" s="60" t="n"/>
      <c r="H66" s="60" t="n"/>
      <c r="I66" s="60" t="n"/>
      <c r="J66" s="60" t="n"/>
      <c r="K66" s="60" t="n"/>
      <c r="L66" s="60" t="n"/>
      <c r="M66" s="60" t="n"/>
      <c r="N66" s="60" t="n"/>
      <c r="O66" s="60" t="n"/>
      <c r="P66" s="60" t="n"/>
      <c r="Q66" s="60" t="n"/>
      <c r="R66" s="60" t="n"/>
      <c r="S66" s="60" t="n"/>
      <c r="T66" s="60" t="n"/>
      <c r="U66" s="60" t="n"/>
      <c r="V66" s="60" t="n"/>
      <c r="W66" s="60" t="n"/>
      <c r="X66" s="60" t="n"/>
      <c r="Y66" s="60" t="n"/>
      <c r="Z66" s="60" t="n"/>
      <c r="AA66" s="60" t="n"/>
      <c r="AB66" s="60" t="n"/>
      <c r="AC66" s="60" t="n"/>
      <c r="AD66" s="60" t="n"/>
      <c r="AE66" s="60" t="n"/>
      <c r="AF66" s="60" t="n"/>
      <c r="AG66" s="60" t="n"/>
      <c r="AH66" s="60" t="n"/>
      <c r="AI66" s="60" t="n"/>
      <c r="AJ66" s="60" t="n"/>
      <c r="AK66" s="60" t="n"/>
      <c r="AL66" s="60" t="n"/>
      <c r="AM66" s="60" t="n"/>
      <c r="AN66" s="60" t="n"/>
      <c r="AO66" s="60" t="n"/>
      <c r="AP66" s="60" t="n"/>
      <c r="AQ66" s="60" t="n"/>
      <c r="AR66" s="60" t="n"/>
      <c r="AS66" s="60" t="n"/>
      <c r="AT66" s="60" t="n"/>
    </row>
    <row r="67" ht="15" customHeight="1">
      <c r="A67" s="68" t="n"/>
      <c r="B67" s="59" t="n"/>
      <c r="C67" s="59" t="n"/>
      <c r="D67" s="59" t="n"/>
      <c r="E67" s="59" t="n"/>
      <c r="F67" s="59" t="n"/>
      <c r="G67" s="59" t="n"/>
      <c r="H67" s="59" t="n"/>
      <c r="I67" s="59" t="n"/>
      <c r="J67" s="59" t="n"/>
      <c r="K67" s="59" t="n"/>
      <c r="L67" s="59" t="n"/>
      <c r="M67" s="59" t="n"/>
      <c r="N67" s="59" t="n"/>
      <c r="O67" s="59" t="n"/>
      <c r="P67" s="59" t="n"/>
      <c r="Q67" s="59" t="n"/>
      <c r="R67" s="59" t="n"/>
      <c r="S67" s="59" t="n"/>
      <c r="T67" s="59" t="n"/>
      <c r="U67" s="59" t="n"/>
      <c r="V67" s="59" t="n"/>
      <c r="W67" s="59" t="n"/>
      <c r="X67" s="59" t="n"/>
      <c r="Y67" s="59" t="n"/>
      <c r="Z67" s="59" t="n"/>
      <c r="AA67" s="59" t="n"/>
      <c r="AB67" s="59" t="n"/>
      <c r="AC67" s="59" t="n"/>
      <c r="AD67" s="59" t="n"/>
      <c r="AE67" s="59" t="n"/>
      <c r="AF67" s="59" t="n"/>
      <c r="AG67" s="59" t="n"/>
      <c r="AH67" s="59" t="n"/>
      <c r="AI67" s="59" t="n"/>
      <c r="AJ67" s="59" t="n"/>
      <c r="AK67" s="59" t="n"/>
      <c r="AL67" s="59" t="n"/>
      <c r="AM67" s="59" t="n"/>
      <c r="AN67" s="59" t="n"/>
      <c r="AO67" s="59" t="n"/>
      <c r="AP67" s="59" t="n"/>
      <c r="AQ67" s="59" t="n"/>
      <c r="AR67" s="59" t="n"/>
      <c r="AS67" s="59" t="n"/>
      <c r="AT67" s="59" t="n"/>
    </row>
    <row r="68" ht="15" customHeight="1">
      <c r="A68" s="60" t="n"/>
      <c r="B68" s="69" t="n"/>
      <c r="C68" s="60" t="n"/>
      <c r="D68" s="69" t="n"/>
      <c r="E68" s="60" t="n"/>
      <c r="F68" s="60" t="n"/>
      <c r="G68" s="60" t="n"/>
      <c r="H68" s="60" t="n"/>
      <c r="I68" s="60" t="n"/>
      <c r="J68" s="60" t="n"/>
      <c r="K68" s="60" t="n"/>
      <c r="L68" s="60" t="n"/>
      <c r="M68" s="60" t="n"/>
      <c r="N68" s="60" t="n"/>
      <c r="O68" s="60" t="n"/>
      <c r="P68" s="60" t="n"/>
      <c r="Q68" s="60" t="n"/>
      <c r="R68" s="60" t="n"/>
      <c r="S68" s="60" t="n"/>
      <c r="T68" s="60" t="n"/>
      <c r="U68" s="60" t="n"/>
      <c r="V68" s="60" t="n"/>
      <c r="W68" s="60" t="n"/>
      <c r="X68" s="60" t="n"/>
      <c r="Y68" s="60" t="n"/>
      <c r="Z68" s="60" t="n"/>
      <c r="AA68" s="60" t="n"/>
      <c r="AB68" s="60" t="n"/>
      <c r="AC68" s="60" t="n"/>
      <c r="AD68" s="60" t="n"/>
      <c r="AE68" s="60" t="n"/>
      <c r="AF68" s="60" t="n"/>
      <c r="AG68" s="60" t="n"/>
      <c r="AH68" s="60" t="n"/>
      <c r="AI68" s="60" t="n"/>
      <c r="AJ68" s="60" t="n"/>
      <c r="AK68" s="60" t="n"/>
      <c r="AL68" s="60" t="n"/>
      <c r="AM68" s="60" t="n"/>
      <c r="AN68" s="60" t="n"/>
      <c r="AO68" s="60" t="n"/>
      <c r="AP68" s="60" t="n"/>
      <c r="AQ68" s="60" t="n"/>
      <c r="AR68" s="60" t="n"/>
      <c r="AS68" s="60" t="n"/>
      <c r="AT68" s="60" t="n"/>
    </row>
    <row r="69" ht="15" customHeight="1">
      <c r="A69" s="60" t="n"/>
      <c r="B69" s="69" t="n"/>
      <c r="C69" s="60" t="n"/>
      <c r="D69" s="69" t="n"/>
      <c r="E69" s="60" t="n"/>
      <c r="F69" s="60" t="n"/>
      <c r="G69" s="60" t="n"/>
      <c r="H69" s="60" t="n"/>
      <c r="I69" s="60" t="n"/>
      <c r="J69" s="60" t="n"/>
      <c r="K69" s="60" t="n"/>
      <c r="L69" s="60" t="n"/>
      <c r="M69" s="60" t="n"/>
      <c r="N69" s="60" t="n"/>
      <c r="O69" s="60" t="n"/>
      <c r="P69" s="60" t="n"/>
      <c r="Q69" s="60" t="n"/>
      <c r="R69" s="60" t="n"/>
      <c r="S69" s="60" t="n"/>
      <c r="T69" s="60" t="n"/>
      <c r="U69" s="60" t="n"/>
      <c r="V69" s="60" t="n"/>
      <c r="W69" s="60" t="n"/>
      <c r="X69" s="60" t="n"/>
      <c r="Y69" s="60" t="n"/>
      <c r="Z69" s="60" t="n"/>
      <c r="AA69" s="60" t="n"/>
      <c r="AB69" s="60" t="n"/>
      <c r="AC69" s="60" t="n"/>
      <c r="AD69" s="60" t="n"/>
      <c r="AE69" s="60" t="n"/>
      <c r="AF69" s="60" t="n"/>
      <c r="AG69" s="60" t="n"/>
      <c r="AH69" s="60" t="n"/>
      <c r="AI69" s="60" t="n"/>
      <c r="AJ69" s="60" t="n"/>
      <c r="AK69" s="60" t="n"/>
      <c r="AL69" s="60" t="n"/>
      <c r="AM69" s="60" t="n"/>
      <c r="AN69" s="60" t="n"/>
      <c r="AO69" s="60" t="n"/>
      <c r="AP69" s="60" t="n"/>
      <c r="AQ69" s="60" t="n"/>
      <c r="AR69" s="60" t="n"/>
      <c r="AS69" s="60" t="n"/>
      <c r="AT69" s="60" t="n"/>
    </row>
  </sheetData>
  <mergeCells count="14">
    <mergeCell ref="AA3"/>
    <mergeCell ref="AG3"/>
    <mergeCell ref="AM3"/>
    <mergeCell ref="A2:AZ2"/>
    <mergeCell ref="AD3"/>
    <mergeCell ref="O3"/>
    <mergeCell ref="AP3"/>
    <mergeCell ref="L3"/>
    <mergeCell ref="X3"/>
    <mergeCell ref="A1:AZ1"/>
    <mergeCell ref="AJ3"/>
    <mergeCell ref="I3"/>
    <mergeCell ref="U3"/>
    <mergeCell ref="R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237E"/>
    <outlinePr summaryBelow="1" summaryRight="1"/>
    <pageSetUpPr/>
  </sheetPr>
  <dimension ref="A1:AZ64"/>
  <sheetViews>
    <sheetView showGridLines="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2" customWidth="1" min="4" max="4"/>
    <col width="25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7.5" customWidth="1" min="18" max="18"/>
    <col width="9" customWidth="1" min="19" max="19"/>
  </cols>
  <sheetData>
    <row r="1" ht="25" customHeight="1">
      <c r="A1" s="55" t="inlineStr">
        <is>
          <t>EMIRATES PRIDE PERFUMES | TESTER CONSUMPTION | APR 2026 | IMAD</t>
        </is>
      </c>
    </row>
    <row r="2" ht="14" customHeight="1">
      <c r="A2" s="56" t="inlineStr">
        <is>
          <t>T=Testers Dispatched (blue) | S=Sales Generated (green) | Contrib%=Contribution %</t>
        </is>
      </c>
    </row>
    <row r="3" ht="30" customHeight="1">
      <c r="A3" s="57" t="inlineStr">
        <is>
          <t>#</t>
        </is>
      </c>
      <c r="B3" s="57" t="inlineStr">
        <is>
          <t>Category</t>
        </is>
      </c>
      <c r="C3" s="57" t="inlineStr">
        <is>
          <t>Sub-Category</t>
        </is>
      </c>
      <c r="D3" s="57" t="inlineStr">
        <is>
          <t>SKU Code</t>
        </is>
      </c>
      <c r="E3" s="57" t="inlineStr">
        <is>
          <t>Product Name</t>
        </is>
      </c>
      <c r="F3" s="57" t="inlineStr">
        <is>
          <t>Grand Total
Testers</t>
        </is>
      </c>
      <c r="G3" s="57" t="inlineStr">
        <is>
          <t>Grand Total
Sales</t>
        </is>
      </c>
      <c r="H3" s="57" t="inlineStr">
        <is>
          <t>Grand Total
Contrib%</t>
        </is>
      </c>
      <c r="I3" s="58" t="inlineStr">
        <is>
          <t>Mirdif CC</t>
        </is>
      </c>
      <c r="J3" s="59" t="n"/>
      <c r="K3" s="60" t="n"/>
      <c r="L3" s="58" t="inlineStr">
        <is>
          <t>Dubai Hills</t>
        </is>
      </c>
      <c r="M3" s="59" t="n"/>
      <c r="N3" s="60" t="n"/>
      <c r="O3" s="58" t="inlineStr">
        <is>
          <t>Dubai Fest City</t>
        </is>
      </c>
      <c r="P3" s="59" t="n"/>
      <c r="Q3" s="60" t="n"/>
      <c r="R3" s="59" t="n"/>
      <c r="S3" s="59" t="n"/>
    </row>
    <row r="4" ht="44" customHeight="1">
      <c r="A4" s="61" t="n"/>
      <c r="B4" s="61" t="n"/>
      <c r="C4" s="61" t="n"/>
      <c r="D4" s="61" t="n"/>
      <c r="E4" s="61" t="n"/>
      <c r="F4" s="61" t="inlineStr">
        <is>
          <t>T</t>
        </is>
      </c>
      <c r="G4" s="61" t="inlineStr">
        <is>
          <t>S</t>
        </is>
      </c>
      <c r="H4" s="61" t="inlineStr">
        <is>
          <t>Contrib%</t>
        </is>
      </c>
      <c r="I4" s="62" t="inlineStr">
        <is>
          <t>T</t>
        </is>
      </c>
      <c r="J4" s="62" t="inlineStr">
        <is>
          <t>S</t>
        </is>
      </c>
      <c r="K4" s="62" t="inlineStr">
        <is>
          <t>Contrib%</t>
        </is>
      </c>
      <c r="L4" s="62" t="inlineStr">
        <is>
          <t>T</t>
        </is>
      </c>
      <c r="M4" s="62" t="inlineStr">
        <is>
          <t>S</t>
        </is>
      </c>
      <c r="N4" s="62" t="inlineStr">
        <is>
          <t>Contrib%</t>
        </is>
      </c>
      <c r="O4" s="62" t="inlineStr">
        <is>
          <t>T</t>
        </is>
      </c>
      <c r="P4" s="62" t="inlineStr">
        <is>
          <t>S</t>
        </is>
      </c>
      <c r="Q4" s="62" t="inlineStr">
        <is>
          <t>Contrib%</t>
        </is>
      </c>
      <c r="R4" s="60" t="n"/>
      <c r="S4" s="60" t="n"/>
    </row>
    <row r="5" ht="20" customHeight="1">
      <c r="A5" s="63" t="inlineStr">
        <is>
          <t>GRAND TOTAL</t>
        </is>
      </c>
      <c r="B5" s="59" t="n"/>
      <c r="C5" s="59" t="n"/>
      <c r="D5" s="59" t="n"/>
      <c r="E5" s="60" t="n"/>
      <c r="F5" s="64">
        <f>SUM(F12:F64)</f>
        <v/>
      </c>
      <c r="G5" s="64">
        <f>SUM(G12:G64)</f>
        <v/>
      </c>
      <c r="H5" s="65">
        <f>IFERROR(IF(G5&gt;0,F5/G5,"-"),"-")</f>
        <v/>
      </c>
      <c r="I5" s="66">
        <f>SUM(I12:I64)</f>
        <v/>
      </c>
      <c r="J5" s="66">
        <f>SUM(J12:J64)</f>
        <v/>
      </c>
      <c r="K5" s="67">
        <f>IFERROR(IF(J5&gt;0,I5/J5,"-"),"-")</f>
        <v/>
      </c>
      <c r="L5" s="66">
        <f>SUM(L12:L64)</f>
        <v/>
      </c>
      <c r="M5" s="66">
        <f>SUM(M12:M64)</f>
        <v/>
      </c>
      <c r="N5" s="67">
        <f>IFERROR(IF(M5&gt;0,L5/M5,"-"),"-")</f>
        <v/>
      </c>
      <c r="O5" s="66">
        <f>SUM(O12:O64)</f>
        <v/>
      </c>
      <c r="P5" s="66">
        <f>SUM(P12:P64)</f>
        <v/>
      </c>
      <c r="Q5" s="67">
        <f>IFERROR(IF(P5&gt;0,O5/P5,"-"),"-")</f>
        <v/>
      </c>
      <c r="R5" s="60" t="n"/>
      <c r="S5" s="60" t="n"/>
    </row>
    <row r="6" ht="15" customHeight="1">
      <c r="A6" s="68" t="n"/>
      <c r="B6" s="59" t="n"/>
      <c r="C6" s="59" t="n"/>
      <c r="D6" s="59" t="n"/>
      <c r="E6" s="59" t="n"/>
      <c r="F6" s="59" t="n"/>
      <c r="G6" s="59" t="n"/>
      <c r="H6" s="59" t="n"/>
      <c r="I6" s="59" t="n"/>
      <c r="J6" s="59" t="n"/>
      <c r="K6" s="59" t="n"/>
      <c r="L6" s="59" t="n"/>
      <c r="M6" s="59" t="n"/>
      <c r="N6" s="59" t="n"/>
      <c r="O6" s="59" t="n"/>
      <c r="P6" s="59" t="n"/>
      <c r="Q6" s="59" t="n"/>
      <c r="R6" s="59" t="n"/>
      <c r="S6" s="59" t="n"/>
    </row>
    <row r="7" ht="15" customHeight="1">
      <c r="A7" s="60" t="n"/>
      <c r="B7" s="69" t="n"/>
      <c r="C7" s="60" t="n"/>
      <c r="D7" s="69" t="n"/>
      <c r="E7" s="60" t="n"/>
      <c r="F7" s="60" t="n"/>
      <c r="G7" s="60" t="n"/>
      <c r="H7" s="60" t="n"/>
      <c r="I7" s="60" t="n"/>
      <c r="J7" s="60" t="n"/>
      <c r="K7" s="60" t="n"/>
      <c r="L7" s="60" t="n"/>
      <c r="M7" s="60" t="n"/>
      <c r="N7" s="60" t="n"/>
      <c r="O7" s="60" t="n"/>
      <c r="P7" s="60" t="n"/>
      <c r="Q7" s="60" t="n"/>
      <c r="R7" s="60" t="n"/>
      <c r="S7" s="60" t="n"/>
    </row>
    <row r="8" ht="15" customHeight="1">
      <c r="A8" s="60" t="n"/>
      <c r="B8" s="69" t="n"/>
      <c r="C8" s="60" t="n"/>
      <c r="D8" s="69" t="n"/>
      <c r="E8" s="60" t="n"/>
      <c r="F8" s="60" t="n"/>
      <c r="G8" s="60" t="n"/>
      <c r="H8" s="60" t="n"/>
      <c r="I8" s="60" t="n"/>
      <c r="J8" s="60" t="n"/>
      <c r="K8" s="60" t="n"/>
      <c r="L8" s="60" t="n"/>
      <c r="M8" s="60" t="n"/>
      <c r="N8" s="60" t="n"/>
      <c r="O8" s="60" t="n"/>
      <c r="P8" s="60" t="n"/>
      <c r="Q8" s="60" t="n"/>
      <c r="R8" s="60" t="n"/>
      <c r="S8" s="60" t="n"/>
    </row>
    <row r="9" ht="15" customHeight="1">
      <c r="A9" s="60" t="n"/>
      <c r="B9" s="69" t="n"/>
      <c r="C9" s="60" t="n"/>
      <c r="D9" s="69" t="n"/>
      <c r="E9" s="60" t="n"/>
      <c r="F9" s="60" t="n"/>
      <c r="G9" s="60" t="n"/>
      <c r="H9" s="60" t="n"/>
      <c r="I9" s="60" t="n"/>
      <c r="J9" s="60" t="n"/>
      <c r="K9" s="60" t="n"/>
      <c r="L9" s="60" t="n"/>
      <c r="M9" s="60" t="n"/>
      <c r="N9" s="60" t="n"/>
      <c r="O9" s="60" t="n"/>
      <c r="P9" s="60" t="n"/>
      <c r="Q9" s="60" t="n"/>
      <c r="R9" s="60" t="n"/>
      <c r="S9" s="60" t="n"/>
    </row>
    <row r="10" ht="15" customHeight="1">
      <c r="A10" s="68" t="n"/>
      <c r="B10" s="59" t="n"/>
      <c r="C10" s="59" t="n"/>
      <c r="D10" s="59" t="n"/>
      <c r="E10" s="59" t="n"/>
      <c r="F10" s="59" t="n"/>
      <c r="G10" s="59" t="n"/>
      <c r="H10" s="59" t="n"/>
      <c r="I10" s="59" t="n"/>
      <c r="J10" s="59" t="n"/>
      <c r="K10" s="59" t="n"/>
      <c r="L10" s="59" t="n"/>
      <c r="M10" s="59" t="n"/>
      <c r="N10" s="59" t="n"/>
      <c r="O10" s="59" t="n"/>
      <c r="P10" s="59" t="n"/>
      <c r="Q10" s="59" t="n"/>
      <c r="R10" s="59" t="n"/>
      <c r="S10" s="59" t="n"/>
    </row>
    <row r="11" ht="15" customHeight="1">
      <c r="A11" s="60" t="n"/>
      <c r="B11" s="69" t="n"/>
      <c r="C11" s="60" t="n"/>
      <c r="D11" s="69" t="n"/>
      <c r="E11" s="60" t="n"/>
      <c r="F11" s="60" t="n"/>
      <c r="G11" s="60" t="n"/>
      <c r="H11" s="60" t="n"/>
      <c r="I11" s="60" t="n"/>
      <c r="J11" s="60" t="n"/>
      <c r="K11" s="60" t="n"/>
      <c r="L11" s="60" t="n"/>
      <c r="M11" s="60" t="n"/>
      <c r="N11" s="60" t="n"/>
      <c r="O11" s="60" t="n"/>
      <c r="P11" s="60" t="n"/>
      <c r="Q11" s="60" t="n"/>
      <c r="R11" s="60" t="n"/>
      <c r="S11" s="60" t="n"/>
    </row>
    <row r="12" ht="15" customHeight="1">
      <c r="A12" s="70" t="n">
        <v>5</v>
      </c>
      <c r="B12" s="71" t="inlineStr">
        <is>
          <t>Bel Collections</t>
        </is>
      </c>
      <c r="C12" s="70" t="inlineStr">
        <is>
          <t>B00002</t>
        </is>
      </c>
      <c r="D12" s="71" t="inlineStr">
        <is>
          <t>Jasmin bel Musk</t>
        </is>
      </c>
      <c r="E12" s="70" t="n"/>
      <c r="F12" s="72">
        <f>SUM(I12:O12)</f>
        <v/>
      </c>
      <c r="G12" s="72">
        <f>SUM(J12:P12)</f>
        <v/>
      </c>
      <c r="H12" s="73">
        <f>IFERROR(IF(G12&gt;0,F12/G12,"-"),"-")</f>
        <v/>
      </c>
      <c r="I12" s="74" t="n">
        <v>4</v>
      </c>
      <c r="J12" s="74">
        <f>IFERROR(IF(I12&gt;0,H12/I12,"-"),"-")</f>
        <v/>
      </c>
      <c r="K12" s="75" t="n">
        <v>1</v>
      </c>
      <c r="L12" s="74" t="n">
        <v>6</v>
      </c>
      <c r="M12" s="74">
        <f>IFERROR(IF(L12&gt;0,K12/L12,"-"),"-")</f>
        <v/>
      </c>
      <c r="N12" s="75" t="n"/>
      <c r="O12" s="74" t="n">
        <v>4</v>
      </c>
      <c r="P12" s="74">
        <f>IFERROR(IF(O12&gt;0,N12/O12,"-"),"-")</f>
        <v/>
      </c>
      <c r="Q12" s="75" t="n">
        <v>0</v>
      </c>
      <c r="R12" s="60" t="n"/>
      <c r="S12" s="60" t="n"/>
    </row>
    <row r="13" ht="15" customHeight="1">
      <c r="A13" s="70" t="n">
        <v>6</v>
      </c>
      <c r="B13" s="71" t="inlineStr">
        <is>
          <t>Bel Collections</t>
        </is>
      </c>
      <c r="C13" s="70" t="inlineStr">
        <is>
          <t>B00003</t>
        </is>
      </c>
      <c r="D13" s="71" t="inlineStr">
        <is>
          <t>Amber Bel oud</t>
        </is>
      </c>
      <c r="E13" s="70" t="n">
        <v>2</v>
      </c>
      <c r="F13" s="72">
        <f>SUM(I13:O13)</f>
        <v/>
      </c>
      <c r="G13" s="72">
        <f>SUM(J13:P13)</f>
        <v/>
      </c>
      <c r="H13" s="73">
        <f>IFERROR(IF(G13&gt;0,F13/G13,"-"),"-")</f>
        <v/>
      </c>
      <c r="I13" s="74" t="n">
        <v>11</v>
      </c>
      <c r="J13" s="74">
        <f>IFERROR(IF(I13&gt;0,H13/I13,"-"),"-")</f>
        <v/>
      </c>
      <c r="K13" s="75" t="n">
        <v>1</v>
      </c>
      <c r="L13" s="74" t="n">
        <v>16</v>
      </c>
      <c r="M13" s="74">
        <f>IFERROR(IF(L13&gt;0,K13/L13,"-"),"-")</f>
        <v/>
      </c>
      <c r="N13" s="75" t="n">
        <v>1</v>
      </c>
      <c r="O13" s="74" t="n">
        <v>7</v>
      </c>
      <c r="P13" s="74">
        <f>IFERROR(IF(O13&gt;0,N13/O13,"-"),"-")</f>
        <v/>
      </c>
      <c r="Q13" s="75" t="n">
        <v>0</v>
      </c>
      <c r="R13" s="60" t="n"/>
      <c r="S13" s="60" t="n"/>
    </row>
    <row r="14" ht="15" customHeight="1">
      <c r="A14" s="70" t="n">
        <v>7</v>
      </c>
      <c r="B14" s="71" t="inlineStr">
        <is>
          <t>Bel Collections</t>
        </is>
      </c>
      <c r="C14" s="70" t="inlineStr">
        <is>
          <t>B00005</t>
        </is>
      </c>
      <c r="D14" s="71" t="inlineStr">
        <is>
          <t>Mystery</t>
        </is>
      </c>
      <c r="E14" s="70" t="n"/>
      <c r="F14" s="72">
        <f>SUM(I14:O14)</f>
        <v/>
      </c>
      <c r="G14" s="72">
        <f>SUM(J14:P14)</f>
        <v/>
      </c>
      <c r="H14" s="73">
        <f>IFERROR(IF(G14&gt;0,F14/G14,"-"),"-")</f>
        <v/>
      </c>
      <c r="I14" s="74" t="n">
        <v>1</v>
      </c>
      <c r="J14" s="74">
        <f>IFERROR(IF(I14&gt;0,H14/I14,"-"),"-")</f>
        <v/>
      </c>
      <c r="K14" s="75" t="n">
        <v>1</v>
      </c>
      <c r="L14" s="74" t="n">
        <v>1</v>
      </c>
      <c r="M14" s="74">
        <f>IFERROR(IF(L14&gt;0,K14/L14,"-"),"-")</f>
        <v/>
      </c>
      <c r="N14" s="75" t="n"/>
      <c r="O14" s="74" t="n"/>
      <c r="P14" s="74">
        <f>IFERROR(IF(O14&gt;0,N14/O14,"-"),"-")</f>
        <v/>
      </c>
      <c r="Q14" s="75" t="n">
        <v>0</v>
      </c>
      <c r="R14" s="60" t="n"/>
      <c r="S14" s="60" t="n"/>
    </row>
    <row r="15" ht="15" customHeight="1">
      <c r="A15" s="70" t="n">
        <v>8</v>
      </c>
      <c r="B15" s="71" t="inlineStr">
        <is>
          <t>Bel Collections</t>
        </is>
      </c>
      <c r="C15" s="70" t="inlineStr">
        <is>
          <t>B00006</t>
        </is>
      </c>
      <c r="D15" s="71" t="inlineStr">
        <is>
          <t>Mersal</t>
        </is>
      </c>
      <c r="E15" s="70" t="n">
        <v>2</v>
      </c>
      <c r="F15" s="72">
        <f>SUM(I15:O15)</f>
        <v/>
      </c>
      <c r="G15" s="72">
        <f>SUM(J15:P15)</f>
        <v/>
      </c>
      <c r="H15" s="73">
        <f>IFERROR(IF(G15&gt;0,F15/G15,"-"),"-")</f>
        <v/>
      </c>
      <c r="I15" s="74" t="n">
        <v>7</v>
      </c>
      <c r="J15" s="74">
        <f>IFERROR(IF(I15&gt;0,H15/I15,"-"),"-")</f>
        <v/>
      </c>
      <c r="K15" s="75" t="n">
        <v>4</v>
      </c>
      <c r="L15" s="74" t="n">
        <v>21</v>
      </c>
      <c r="M15" s="74">
        <f>IFERROR(IF(L15&gt;0,K15/L15,"-"),"-")</f>
        <v/>
      </c>
      <c r="N15" s="75" t="n">
        <v>1</v>
      </c>
      <c r="O15" s="74" t="n">
        <v>6</v>
      </c>
      <c r="P15" s="74">
        <f>IFERROR(IF(O15&gt;0,N15/O15,"-"),"-")</f>
        <v/>
      </c>
      <c r="Q15" s="75" t="n">
        <v>0</v>
      </c>
      <c r="R15" s="60" t="n"/>
      <c r="S15" s="60" t="n"/>
    </row>
    <row r="16" ht="15" customHeight="1">
      <c r="A16" s="70" t="n">
        <v>9</v>
      </c>
      <c r="B16" s="71" t="inlineStr">
        <is>
          <t>Bel Collections</t>
        </is>
      </c>
      <c r="C16" s="70" t="inlineStr">
        <is>
          <t>B00007</t>
        </is>
      </c>
      <c r="D16" s="71" t="inlineStr">
        <is>
          <t>Peaceful Life</t>
        </is>
      </c>
      <c r="E16" s="70" t="n">
        <v>8</v>
      </c>
      <c r="F16" s="72">
        <f>SUM(I16:O16)</f>
        <v/>
      </c>
      <c r="G16" s="72">
        <f>SUM(J16:P16)</f>
        <v/>
      </c>
      <c r="H16" s="73">
        <f>IFERROR(IF(G16&gt;0,F16/G16,"-"),"-")</f>
        <v/>
      </c>
      <c r="I16" s="74" t="n">
        <v>41</v>
      </c>
      <c r="J16" s="74">
        <f>IFERROR(IF(I16&gt;0,H16/I16,"-"),"-")</f>
        <v/>
      </c>
      <c r="K16" s="75" t="n">
        <v>10</v>
      </c>
      <c r="L16" s="74" t="n">
        <v>77</v>
      </c>
      <c r="M16" s="74">
        <f>IFERROR(IF(L16&gt;0,K16/L16,"-"),"-")</f>
        <v/>
      </c>
      <c r="N16" s="75" t="n">
        <v>9</v>
      </c>
      <c r="O16" s="74" t="n">
        <v>30</v>
      </c>
      <c r="P16" s="74">
        <f>IFERROR(IF(O16&gt;0,N16/O16,"-"),"-")</f>
        <v/>
      </c>
      <c r="Q16" s="75" t="n">
        <v>0</v>
      </c>
      <c r="R16" s="60" t="n"/>
      <c r="S16" s="60" t="n"/>
    </row>
    <row r="17" ht="15" customHeight="1">
      <c r="A17" s="70" t="n">
        <v>10</v>
      </c>
      <c r="B17" s="71" t="inlineStr">
        <is>
          <t>Bel Collections</t>
        </is>
      </c>
      <c r="C17" s="70" t="inlineStr">
        <is>
          <t>B00008</t>
        </is>
      </c>
      <c r="D17" s="71" t="inlineStr">
        <is>
          <t>Midnight Glow</t>
        </is>
      </c>
      <c r="E17" s="70" t="n"/>
      <c r="F17" s="72">
        <f>SUM(I17:O17)</f>
        <v/>
      </c>
      <c r="G17" s="72">
        <f>SUM(J17:P17)</f>
        <v/>
      </c>
      <c r="H17" s="73">
        <f>IFERROR(IF(G17&gt;0,F17/G17,"-"),"-")</f>
        <v/>
      </c>
      <c r="I17" s="74" t="n">
        <v>2</v>
      </c>
      <c r="J17" s="74">
        <f>IFERROR(IF(I17&gt;0,H17/I17,"-"),"-")</f>
        <v/>
      </c>
      <c r="K17" s="75" t="n">
        <v>1</v>
      </c>
      <c r="L17" s="74" t="n">
        <v>7</v>
      </c>
      <c r="M17" s="74">
        <f>IFERROR(IF(L17&gt;0,K17/L17,"-"),"-")</f>
        <v/>
      </c>
      <c r="N17" s="75" t="n">
        <v>1</v>
      </c>
      <c r="O17" s="74" t="n">
        <v>1</v>
      </c>
      <c r="P17" s="74">
        <f>IFERROR(IF(O17&gt;0,N17/O17,"-"),"-")</f>
        <v/>
      </c>
      <c r="Q17" s="75" t="n">
        <v>0</v>
      </c>
      <c r="R17" s="60" t="n"/>
      <c r="S17" s="60" t="n"/>
    </row>
    <row r="18" ht="15" customHeight="1">
      <c r="A18" s="70" t="n">
        <v>11</v>
      </c>
      <c r="B18" s="71" t="inlineStr">
        <is>
          <t>Bel Collections</t>
        </is>
      </c>
      <c r="C18" s="70" t="inlineStr">
        <is>
          <t>B00010</t>
        </is>
      </c>
      <c r="D18" s="71" t="inlineStr">
        <is>
          <t>Sakura</t>
        </is>
      </c>
      <c r="E18" s="70" t="n"/>
      <c r="F18" s="72">
        <f>SUM(I18:O18)</f>
        <v/>
      </c>
      <c r="G18" s="72">
        <f>SUM(J18:P18)</f>
        <v/>
      </c>
      <c r="H18" s="73">
        <f>IFERROR(IF(G18&gt;0,F18/G18,"-"),"-")</f>
        <v/>
      </c>
      <c r="I18" s="74" t="n">
        <v>4</v>
      </c>
      <c r="J18" s="74">
        <f>IFERROR(IF(I18&gt;0,H18/I18,"-"),"-")</f>
        <v/>
      </c>
      <c r="K18" s="75" t="n"/>
      <c r="L18" s="74" t="n">
        <v>7</v>
      </c>
      <c r="M18" s="74">
        <f>IFERROR(IF(L18&gt;0,K18/L18,"-"),"-")</f>
        <v/>
      </c>
      <c r="N18" s="75" t="n"/>
      <c r="O18" s="74" t="n"/>
      <c r="P18" s="74">
        <f>IFERROR(IF(O18&gt;0,N18/O18,"-"),"-")</f>
        <v/>
      </c>
      <c r="Q18" s="75" t="n">
        <v>0</v>
      </c>
      <c r="R18" s="60" t="n"/>
      <c r="S18" s="60" t="n"/>
    </row>
    <row r="19" ht="15" customHeight="1">
      <c r="A19" s="70" t="n">
        <v>12</v>
      </c>
      <c r="B19" s="71" t="inlineStr">
        <is>
          <t>Bel Collections</t>
        </is>
      </c>
      <c r="C19" s="70" t="inlineStr">
        <is>
          <t>B00015</t>
        </is>
      </c>
      <c r="D19" s="71" t="inlineStr">
        <is>
          <t>Hidden Leather</t>
        </is>
      </c>
      <c r="E19" s="70" t="n"/>
      <c r="F19" s="72">
        <f>SUM(I19:O19)</f>
        <v/>
      </c>
      <c r="G19" s="72">
        <f>SUM(J19:P19)</f>
        <v/>
      </c>
      <c r="H19" s="73">
        <f>IFERROR(IF(G19&gt;0,F19/G19,"-"),"-")</f>
        <v/>
      </c>
      <c r="I19" s="74" t="n">
        <v>13</v>
      </c>
      <c r="J19" s="74">
        <f>IFERROR(IF(I19&gt;0,H19/I19,"-"),"-")</f>
        <v/>
      </c>
      <c r="K19" s="75" t="n"/>
      <c r="L19" s="74" t="n">
        <v>3</v>
      </c>
      <c r="M19" s="74">
        <f>IFERROR(IF(L19&gt;0,K19/L19,"-"),"-")</f>
        <v/>
      </c>
      <c r="N19" s="75" t="n"/>
      <c r="O19" s="74" t="n">
        <v>13</v>
      </c>
      <c r="P19" s="74">
        <f>IFERROR(IF(O19&gt;0,N19/O19,"-"),"-")</f>
        <v/>
      </c>
      <c r="Q19" s="75" t="n">
        <v>0</v>
      </c>
      <c r="R19" s="60" t="n"/>
      <c r="S19" s="60" t="n"/>
    </row>
    <row r="20" ht="15" customHeight="1">
      <c r="A20" s="70" t="n">
        <v>13</v>
      </c>
      <c r="B20" s="71" t="inlineStr">
        <is>
          <t>Bel Collections</t>
        </is>
      </c>
      <c r="C20" s="70" t="inlineStr">
        <is>
          <t>B00016</t>
        </is>
      </c>
      <c r="D20" s="71" t="inlineStr">
        <is>
          <t>Mysterious Rose</t>
        </is>
      </c>
      <c r="E20" s="70" t="n">
        <v>4</v>
      </c>
      <c r="F20" s="72">
        <f>SUM(I20:O20)</f>
        <v/>
      </c>
      <c r="G20" s="72">
        <f>SUM(J20:P20)</f>
        <v/>
      </c>
      <c r="H20" s="73">
        <f>IFERROR(IF(G20&gt;0,F20/G20,"-"),"-")</f>
        <v/>
      </c>
      <c r="I20" s="74" t="n">
        <v>14</v>
      </c>
      <c r="J20" s="74">
        <f>IFERROR(IF(I20&gt;0,H20/I20,"-"),"-")</f>
        <v/>
      </c>
      <c r="K20" s="75" t="n">
        <v>13</v>
      </c>
      <c r="L20" s="74" t="n">
        <v>65</v>
      </c>
      <c r="M20" s="74">
        <f>IFERROR(IF(L20&gt;0,K20/L20,"-"),"-")</f>
        <v/>
      </c>
      <c r="N20" s="75" t="n">
        <v>3</v>
      </c>
      <c r="O20" s="74" t="n">
        <v>18</v>
      </c>
      <c r="P20" s="74">
        <f>IFERROR(IF(O20&gt;0,N20/O20,"-"),"-")</f>
        <v/>
      </c>
      <c r="Q20" s="75" t="n">
        <v>0</v>
      </c>
      <c r="R20" s="60" t="n"/>
      <c r="S20" s="60" t="n"/>
    </row>
    <row r="21" ht="15" customHeight="1">
      <c r="A21" s="70" t="n">
        <v>14</v>
      </c>
      <c r="B21" s="71" t="inlineStr">
        <is>
          <t>Bel Collections</t>
        </is>
      </c>
      <c r="C21" s="70" t="inlineStr">
        <is>
          <t>B00017</t>
        </is>
      </c>
      <c r="D21" s="71" t="inlineStr">
        <is>
          <t>Thekrayat</t>
        </is>
      </c>
      <c r="E21" s="70" t="n"/>
      <c r="F21" s="72">
        <f>SUM(I21:O21)</f>
        <v/>
      </c>
      <c r="G21" s="72">
        <f>SUM(J21:P21)</f>
        <v/>
      </c>
      <c r="H21" s="73">
        <f>IFERROR(IF(G21&gt;0,F21/G21,"-"),"-")</f>
        <v/>
      </c>
      <c r="I21" s="74" t="n">
        <v>15</v>
      </c>
      <c r="J21" s="74">
        <f>IFERROR(IF(I21&gt;0,H21/I21,"-"),"-")</f>
        <v/>
      </c>
      <c r="K21" s="75" t="n">
        <v>1</v>
      </c>
      <c r="L21" s="74" t="n">
        <v>4</v>
      </c>
      <c r="M21" s="74">
        <f>IFERROR(IF(L21&gt;0,K21/L21,"-"),"-")</f>
        <v/>
      </c>
      <c r="N21" s="75" t="n"/>
      <c r="O21" s="74" t="n">
        <v>10</v>
      </c>
      <c r="P21" s="74">
        <f>IFERROR(IF(O21&gt;0,N21/O21,"-"),"-")</f>
        <v/>
      </c>
      <c r="Q21" s="75" t="n">
        <v>0</v>
      </c>
      <c r="R21" s="60" t="n"/>
      <c r="S21" s="60" t="n"/>
    </row>
    <row r="22" ht="15" customHeight="1">
      <c r="A22" s="70" t="n">
        <v>15</v>
      </c>
      <c r="B22" s="71" t="inlineStr">
        <is>
          <t>Bel Collections</t>
        </is>
      </c>
      <c r="C22" s="70" t="inlineStr">
        <is>
          <t>B00018</t>
        </is>
      </c>
      <c r="D22" s="71" t="inlineStr">
        <is>
          <t>Hidden Tobacco</t>
        </is>
      </c>
      <c r="E22" s="70" t="n">
        <v>1</v>
      </c>
      <c r="F22" s="72">
        <f>SUM(I22:O22)</f>
        <v/>
      </c>
      <c r="G22" s="72">
        <f>SUM(J22:P22)</f>
        <v/>
      </c>
      <c r="H22" s="73">
        <f>IFERROR(IF(G22&gt;0,F22/G22,"-"),"-")</f>
        <v/>
      </c>
      <c r="I22" s="74" t="n">
        <v>2</v>
      </c>
      <c r="J22" s="74">
        <f>IFERROR(IF(I22&gt;0,H22/I22,"-"),"-")</f>
        <v/>
      </c>
      <c r="K22" s="75" t="n">
        <v>1</v>
      </c>
      <c r="L22" s="74" t="n">
        <v>10</v>
      </c>
      <c r="M22" s="74">
        <f>IFERROR(IF(L22&gt;0,K22/L22,"-"),"-")</f>
        <v/>
      </c>
      <c r="N22" s="75" t="n"/>
      <c r="O22" s="74" t="n">
        <v>6</v>
      </c>
      <c r="P22" s="74">
        <f>IFERROR(IF(O22&gt;0,N22/O22,"-"),"-")</f>
        <v/>
      </c>
      <c r="Q22" s="75" t="n">
        <v>0</v>
      </c>
      <c r="R22" s="60" t="n"/>
      <c r="S22" s="60" t="n"/>
    </row>
    <row r="23" ht="15" customHeight="1">
      <c r="A23" s="70" t="n">
        <v>16</v>
      </c>
      <c r="B23" s="71" t="inlineStr">
        <is>
          <t>Bel Collections</t>
        </is>
      </c>
      <c r="C23" s="70" t="inlineStr">
        <is>
          <t>B00019</t>
        </is>
      </c>
      <c r="D23" s="71" t="inlineStr">
        <is>
          <t>Masters Perfume 100ml</t>
        </is>
      </c>
      <c r="E23" s="70" t="n"/>
      <c r="F23" s="72">
        <f>SUM(I23:O23)</f>
        <v/>
      </c>
      <c r="G23" s="72">
        <f>SUM(J23:P23)</f>
        <v/>
      </c>
      <c r="H23" s="73">
        <f>IFERROR(IF(G23&gt;0,F23/G23,"-"),"-")</f>
        <v/>
      </c>
      <c r="I23" s="74" t="n">
        <v>7</v>
      </c>
      <c r="J23" s="74">
        <f>IFERROR(IF(I23&gt;0,H23/I23,"-"),"-")</f>
        <v/>
      </c>
      <c r="K23" s="75" t="n">
        <v>1</v>
      </c>
      <c r="L23" s="74" t="n">
        <v>9</v>
      </c>
      <c r="M23" s="74">
        <f>IFERROR(IF(L23&gt;0,K23/L23,"-"),"-")</f>
        <v/>
      </c>
      <c r="N23" s="75" t="n"/>
      <c r="O23" s="74" t="n">
        <v>6</v>
      </c>
      <c r="P23" s="74">
        <f>IFERROR(IF(O23&gt;0,N23/O23,"-"),"-")</f>
        <v/>
      </c>
      <c r="Q23" s="75" t="n">
        <v>0</v>
      </c>
      <c r="R23" s="60" t="n"/>
      <c r="S23" s="60" t="n"/>
    </row>
    <row r="24" ht="15" customHeight="1">
      <c r="A24" s="70" t="n">
        <v>17</v>
      </c>
      <c r="B24" s="71" t="inlineStr">
        <is>
          <t>Bel Collections</t>
        </is>
      </c>
      <c r="C24" s="70" t="inlineStr">
        <is>
          <t>B00020</t>
        </is>
      </c>
      <c r="D24" s="71" t="inlineStr">
        <is>
          <t>Masters Signature 100ml Perfume - Tester</t>
        </is>
      </c>
      <c r="E24" s="70" t="n">
        <v>4</v>
      </c>
      <c r="F24" s="72">
        <f>SUM(I24:O24)</f>
        <v/>
      </c>
      <c r="G24" s="72">
        <f>SUM(J24:P24)</f>
        <v/>
      </c>
      <c r="H24" s="73">
        <f>IFERROR(IF(G24&gt;0,F24/G24,"-"),"-")</f>
        <v/>
      </c>
      <c r="I24" s="74" t="n">
        <v>12</v>
      </c>
      <c r="J24" s="74">
        <f>IFERROR(IF(I24&gt;0,H24/I24,"-"),"-")</f>
        <v/>
      </c>
      <c r="K24" s="75" t="n">
        <v>2</v>
      </c>
      <c r="L24" s="74" t="n">
        <v>16</v>
      </c>
      <c r="M24" s="74">
        <f>IFERROR(IF(L24&gt;0,K24/L24,"-"),"-")</f>
        <v/>
      </c>
      <c r="N24" s="75" t="n">
        <v>3</v>
      </c>
      <c r="O24" s="74" t="n">
        <v>8</v>
      </c>
      <c r="P24" s="74">
        <f>IFERROR(IF(O24&gt;0,N24/O24,"-"),"-")</f>
        <v/>
      </c>
      <c r="Q24" s="75" t="n">
        <v>0</v>
      </c>
      <c r="R24" s="60" t="n"/>
      <c r="S24" s="60" t="n"/>
    </row>
    <row r="25" ht="15" customHeight="1">
      <c r="A25" s="70" t="n">
        <v>18</v>
      </c>
      <c r="B25" s="71" t="inlineStr">
        <is>
          <t>Bel Collections</t>
        </is>
      </c>
      <c r="C25" s="70" t="inlineStr">
        <is>
          <t>B00021</t>
        </is>
      </c>
      <c r="D25" s="71" t="inlineStr">
        <is>
          <t>Midnight Bloom 100 ML</t>
        </is>
      </c>
      <c r="E25" s="70" t="n">
        <v>5</v>
      </c>
      <c r="F25" s="72">
        <f>SUM(I25:O25)</f>
        <v/>
      </c>
      <c r="G25" s="72">
        <f>SUM(J25:P25)</f>
        <v/>
      </c>
      <c r="H25" s="73">
        <f>IFERROR(IF(G25&gt;0,F25/G25,"-"),"-")</f>
        <v/>
      </c>
      <c r="I25" s="74" t="n">
        <v>6</v>
      </c>
      <c r="J25" s="74">
        <f>IFERROR(IF(I25&gt;0,H25/I25,"-"),"-")</f>
        <v/>
      </c>
      <c r="K25" s="75" t="n">
        <v>6</v>
      </c>
      <c r="L25" s="74" t="n">
        <v>27</v>
      </c>
      <c r="M25" s="74">
        <f>IFERROR(IF(L25&gt;0,K25/L25,"-"),"-")</f>
        <v/>
      </c>
      <c r="N25" s="75" t="n">
        <v>4</v>
      </c>
      <c r="O25" s="74" t="n">
        <v>7</v>
      </c>
      <c r="P25" s="74">
        <f>IFERROR(IF(O25&gt;0,N25/O25,"-"),"-")</f>
        <v/>
      </c>
      <c r="Q25" s="75" t="n">
        <v>0</v>
      </c>
      <c r="R25" s="60" t="n"/>
      <c r="S25" s="60" t="n"/>
    </row>
    <row r="26" ht="15" customHeight="1">
      <c r="A26" s="76" t="inlineStr">
        <is>
          <t xml:space="preserve">  CABALLO COLLECTION</t>
        </is>
      </c>
      <c r="B26" s="77" t="n"/>
      <c r="C26" s="77" t="n"/>
      <c r="D26" s="77" t="n"/>
      <c r="E26" s="77" t="n">
        <v>4</v>
      </c>
      <c r="F26" s="72">
        <f>SUM(I26:O26)</f>
        <v/>
      </c>
      <c r="G26" s="72">
        <f>SUM(J26:P26)</f>
        <v/>
      </c>
      <c r="H26" s="73">
        <f>IFERROR(IF(G26&gt;0,F26/G26,"-"),"-")</f>
        <v/>
      </c>
      <c r="I26" s="74" t="n">
        <v>21</v>
      </c>
      <c r="J26" s="74">
        <f>IFERROR(IF(I26&gt;0,H26/I26,"-"),"-")</f>
        <v/>
      </c>
      <c r="K26" s="75" t="n">
        <v>9</v>
      </c>
      <c r="L26" s="74" t="n">
        <v>47</v>
      </c>
      <c r="M26" s="74">
        <f>IFERROR(IF(L26&gt;0,K26/L26,"-"),"-")</f>
        <v/>
      </c>
      <c r="N26" s="75" t="n">
        <v>8</v>
      </c>
      <c r="O26" s="74" t="n">
        <v>24</v>
      </c>
      <c r="P26" s="74">
        <f>IFERROR(IF(O26&gt;0,N26/O26,"-"),"-")</f>
        <v/>
      </c>
      <c r="Q26" s="75" t="n"/>
      <c r="R26" s="59" t="n"/>
      <c r="S26" s="59" t="n"/>
    </row>
    <row r="27" ht="15" customHeight="1">
      <c r="A27" s="70" t="n">
        <v>19</v>
      </c>
      <c r="B27" s="71" t="inlineStr">
        <is>
          <t>Caballo Collection</t>
        </is>
      </c>
      <c r="C27" s="70" t="inlineStr">
        <is>
          <t>C00004</t>
        </is>
      </c>
      <c r="D27" s="71" t="inlineStr">
        <is>
          <t>Maroon Perfume 100 ML</t>
        </is>
      </c>
      <c r="E27" s="70" t="n"/>
      <c r="F27" s="72">
        <f>SUM(I27:O27)</f>
        <v/>
      </c>
      <c r="G27" s="72">
        <f>SUM(J27:P27)</f>
        <v/>
      </c>
      <c r="H27" s="73">
        <f>IFERROR(IF(G27&gt;0,F27/G27,"-"),"-")</f>
        <v/>
      </c>
      <c r="I27" s="74" t="n"/>
      <c r="J27" s="74">
        <f>IFERROR(IF(I27&gt;0,H27/I27,"-"),"-")</f>
        <v/>
      </c>
      <c r="K27" s="75" t="n">
        <v>1</v>
      </c>
      <c r="L27" s="74" t="n"/>
      <c r="M27" s="74">
        <f>IFERROR(IF(L27&gt;0,K27/L27,"-"),"-")</f>
        <v/>
      </c>
      <c r="N27" s="75" t="n"/>
      <c r="O27" s="74" t="n"/>
      <c r="P27" s="74">
        <f>IFERROR(IF(O27&gt;0,N27/O27,"-"),"-")</f>
        <v/>
      </c>
      <c r="Q27" s="75" t="n">
        <v>0</v>
      </c>
      <c r="R27" s="60" t="n"/>
      <c r="S27" s="60" t="n"/>
    </row>
    <row r="28" ht="15" customHeight="1">
      <c r="A28" s="70" t="n">
        <v>20</v>
      </c>
      <c r="B28" s="71" t="inlineStr">
        <is>
          <t>Caballo Collection</t>
        </is>
      </c>
      <c r="C28" s="70" t="inlineStr">
        <is>
          <t>C00010</t>
        </is>
      </c>
      <c r="D28" s="71" t="inlineStr">
        <is>
          <t>Maroon Intense</t>
        </is>
      </c>
      <c r="E28" s="70" t="n"/>
      <c r="F28" s="72">
        <f>SUM(I28:O28)</f>
        <v/>
      </c>
      <c r="G28" s="72">
        <f>SUM(J28:P28)</f>
        <v/>
      </c>
      <c r="H28" s="73">
        <f>IFERROR(IF(G28&gt;0,F28/G28,"-"),"-")</f>
        <v/>
      </c>
      <c r="I28" s="74" t="n">
        <v>3</v>
      </c>
      <c r="J28" s="74">
        <f>IFERROR(IF(I28&gt;0,H28/I28,"-"),"-")</f>
        <v/>
      </c>
      <c r="K28" s="75" t="n">
        <v>1</v>
      </c>
      <c r="L28" s="74" t="n">
        <v>9</v>
      </c>
      <c r="M28" s="74">
        <f>IFERROR(IF(L28&gt;0,K28/L28,"-"),"-")</f>
        <v/>
      </c>
      <c r="N28" s="75" t="n"/>
      <c r="O28" s="74" t="n">
        <v>4</v>
      </c>
      <c r="P28" s="74">
        <f>IFERROR(IF(O28&gt;0,N28/O28,"-"),"-")</f>
        <v/>
      </c>
      <c r="Q28" s="75" t="n">
        <v>0</v>
      </c>
      <c r="R28" s="60" t="n"/>
      <c r="S28" s="60" t="n"/>
    </row>
    <row r="29" ht="15" customHeight="1">
      <c r="A29" s="70" t="n">
        <v>21</v>
      </c>
      <c r="B29" s="71" t="inlineStr">
        <is>
          <t>Caballo Collection</t>
        </is>
      </c>
      <c r="C29" s="70" t="inlineStr">
        <is>
          <t>C00013</t>
        </is>
      </c>
      <c r="D29" s="71" t="inlineStr">
        <is>
          <t>White Overdose Perfume 100ml</t>
        </is>
      </c>
      <c r="E29" s="70" t="n"/>
      <c r="F29" s="72">
        <f>SUM(I29:O29)</f>
        <v/>
      </c>
      <c r="G29" s="72">
        <f>SUM(J29:P29)</f>
        <v/>
      </c>
      <c r="H29" s="73">
        <f>IFERROR(IF(G29&gt;0,F29/G29,"-"),"-")</f>
        <v/>
      </c>
      <c r="I29" s="74" t="n">
        <v>1</v>
      </c>
      <c r="J29" s="74">
        <f>IFERROR(IF(I29&gt;0,H29/I29,"-"),"-")</f>
        <v/>
      </c>
      <c r="K29" s="75" t="n">
        <v>3</v>
      </c>
      <c r="L29" s="74" t="n">
        <v>11</v>
      </c>
      <c r="M29" s="74">
        <f>IFERROR(IF(L29&gt;0,K29/L29,"-"),"-")</f>
        <v/>
      </c>
      <c r="N29" s="75" t="n"/>
      <c r="O29" s="74" t="n">
        <v>1</v>
      </c>
      <c r="P29" s="74">
        <f>IFERROR(IF(O29&gt;0,N29/O29,"-"),"-")</f>
        <v/>
      </c>
      <c r="Q29" s="75" t="n">
        <v>0</v>
      </c>
      <c r="R29" s="60" t="n"/>
      <c r="S29" s="60" t="n"/>
    </row>
    <row r="30" ht="15" customHeight="1">
      <c r="A30" s="70" t="n">
        <v>22</v>
      </c>
      <c r="B30" s="71" t="inlineStr">
        <is>
          <t>Caballo Collection</t>
        </is>
      </c>
      <c r="C30" s="70" t="inlineStr">
        <is>
          <t>C00014</t>
        </is>
      </c>
      <c r="D30" s="71" t="inlineStr">
        <is>
          <t>Black Perfume 100ml</t>
        </is>
      </c>
      <c r="E30" s="70" t="n"/>
      <c r="F30" s="72">
        <f>SUM(I30:O30)</f>
        <v/>
      </c>
      <c r="G30" s="72">
        <f>SUM(J30:P30)</f>
        <v/>
      </c>
      <c r="H30" s="73">
        <f>IFERROR(IF(G30&gt;0,F30/G30,"-"),"-")</f>
        <v/>
      </c>
      <c r="I30" s="74" t="n"/>
      <c r="J30" s="74">
        <f>IFERROR(IF(I30&gt;0,H30/I30,"-"),"-")</f>
        <v/>
      </c>
      <c r="K30" s="75" t="n"/>
      <c r="L30" s="74" t="n"/>
      <c r="M30" s="74">
        <f>IFERROR(IF(L30&gt;0,K30/L30,"-"),"-")</f>
        <v/>
      </c>
      <c r="N30" s="75" t="n"/>
      <c r="O30" s="74" t="n">
        <v>2</v>
      </c>
      <c r="P30" s="74">
        <f>IFERROR(IF(O30&gt;0,N30/O30,"-"),"-")</f>
        <v/>
      </c>
      <c r="Q30" s="75" t="n">
        <v>0</v>
      </c>
      <c r="R30" s="60" t="n"/>
      <c r="S30" s="60" t="n"/>
    </row>
    <row r="31" ht="15" customHeight="1">
      <c r="A31" s="76" t="inlineStr">
        <is>
          <t xml:space="preserve">  DAKHOON COLLECTION</t>
        </is>
      </c>
      <c r="B31" s="77" t="n"/>
      <c r="C31" s="77" t="n"/>
      <c r="D31" s="77" t="n"/>
      <c r="E31" s="77" t="n"/>
      <c r="F31" s="72">
        <f>SUM(I31:O31)</f>
        <v/>
      </c>
      <c r="G31" s="72">
        <f>SUM(J31:P31)</f>
        <v/>
      </c>
      <c r="H31" s="73">
        <f>IFERROR(IF(G31&gt;0,F31/G31,"-"),"-")</f>
        <v/>
      </c>
      <c r="I31" s="74" t="n"/>
      <c r="J31" s="74">
        <f>IFERROR(IF(I31&gt;0,H31/I31,"-"),"-")</f>
        <v/>
      </c>
      <c r="K31" s="75" t="n"/>
      <c r="L31" s="74" t="n"/>
      <c r="M31" s="74">
        <f>IFERROR(IF(L31&gt;0,K31/L31,"-"),"-")</f>
        <v/>
      </c>
      <c r="N31" s="75" t="n"/>
      <c r="O31" s="74" t="n"/>
      <c r="P31" s="74">
        <f>IFERROR(IF(O31&gt;0,N31/O31,"-"),"-")</f>
        <v/>
      </c>
      <c r="Q31" s="75" t="n"/>
      <c r="R31" s="59" t="n"/>
      <c r="S31" s="59" t="n"/>
    </row>
    <row r="32" ht="15" customHeight="1">
      <c r="A32" s="70" t="n">
        <v>23</v>
      </c>
      <c r="B32" s="71" t="inlineStr">
        <is>
          <t>Dakhoon Collection</t>
        </is>
      </c>
      <c r="C32" s="70" t="inlineStr">
        <is>
          <t>D00001</t>
        </is>
      </c>
      <c r="D32" s="71" t="inlineStr">
        <is>
          <t>Dakhoon Al Emarat</t>
        </is>
      </c>
      <c r="E32" s="70" t="n"/>
      <c r="F32" s="72">
        <f>SUM(I32:O32)</f>
        <v/>
      </c>
      <c r="G32" s="72">
        <f>SUM(J32:P32)</f>
        <v/>
      </c>
      <c r="H32" s="73">
        <f>IFERROR(IF(G32&gt;0,F32/G32,"-"),"-")</f>
        <v/>
      </c>
      <c r="I32" s="74" t="n">
        <v>8</v>
      </c>
      <c r="J32" s="74">
        <f>IFERROR(IF(I32&gt;0,H32/I32,"-"),"-")</f>
        <v/>
      </c>
      <c r="K32" s="75" t="n">
        <v>3</v>
      </c>
      <c r="L32" s="74" t="n">
        <v>11</v>
      </c>
      <c r="M32" s="74">
        <f>IFERROR(IF(L32&gt;0,K32/L32,"-"),"-")</f>
        <v/>
      </c>
      <c r="N32" s="75" t="n">
        <v>1</v>
      </c>
      <c r="O32" s="74" t="n">
        <v>4</v>
      </c>
      <c r="P32" s="74">
        <f>IFERROR(IF(O32&gt;0,N32/O32,"-"),"-")</f>
        <v/>
      </c>
      <c r="Q32" s="75" t="n">
        <v>0</v>
      </c>
      <c r="R32" s="60" t="n"/>
      <c r="S32" s="60" t="n"/>
    </row>
    <row r="33" ht="15" customHeight="1">
      <c r="A33" s="76" t="inlineStr">
        <is>
          <t xml:space="preserve">  OUD COLLECTION</t>
        </is>
      </c>
      <c r="B33" s="77" t="n"/>
      <c r="C33" s="77" t="n"/>
      <c r="D33" s="77" t="n"/>
      <c r="E33" s="77" t="n"/>
      <c r="F33" s="72">
        <f>SUM(I33:O33)</f>
        <v/>
      </c>
      <c r="G33" s="72">
        <f>SUM(J33:P33)</f>
        <v/>
      </c>
      <c r="H33" s="73">
        <f>IFERROR(IF(G33&gt;0,F33/G33,"-"),"-")</f>
        <v/>
      </c>
      <c r="I33" s="74" t="n">
        <v>2</v>
      </c>
      <c r="J33" s="74">
        <f>IFERROR(IF(I33&gt;0,H33/I33,"-"),"-")</f>
        <v/>
      </c>
      <c r="K33" s="75" t="n">
        <v>2</v>
      </c>
      <c r="L33" s="74" t="n">
        <v>4</v>
      </c>
      <c r="M33" s="74">
        <f>IFERROR(IF(L33&gt;0,K33/L33,"-"),"-")</f>
        <v/>
      </c>
      <c r="N33" s="75" t="n"/>
      <c r="O33" s="74" t="n"/>
      <c r="P33" s="74">
        <f>IFERROR(IF(O33&gt;0,N33/O33,"-"),"-")</f>
        <v/>
      </c>
      <c r="Q33" s="75" t="n"/>
      <c r="R33" s="59" t="n"/>
      <c r="S33" s="59" t="n"/>
    </row>
    <row r="34" ht="15" customHeight="1">
      <c r="A34" s="70" t="n">
        <v>24</v>
      </c>
      <c r="B34" s="71" t="inlineStr">
        <is>
          <t>Oud Collection</t>
        </is>
      </c>
      <c r="C34" s="70" t="inlineStr">
        <is>
          <t>O00006</t>
        </is>
      </c>
      <c r="D34" s="71" t="inlineStr">
        <is>
          <t>Oud Al Fakhamah</t>
        </is>
      </c>
      <c r="E34" s="70" t="n"/>
      <c r="F34" s="72">
        <f>SUM(I34:O34)</f>
        <v/>
      </c>
      <c r="G34" s="72">
        <f>SUM(J34:P34)</f>
        <v/>
      </c>
      <c r="H34" s="73">
        <f>IFERROR(IF(G34&gt;0,F34/G34,"-"),"-")</f>
        <v/>
      </c>
      <c r="I34" s="74" t="n">
        <v>1</v>
      </c>
      <c r="J34" s="74">
        <f>IFERROR(IF(I34&gt;0,H34/I34,"-"),"-")</f>
        <v/>
      </c>
      <c r="K34" s="75" t="n"/>
      <c r="L34" s="74" t="n">
        <v>1</v>
      </c>
      <c r="M34" s="74">
        <f>IFERROR(IF(L34&gt;0,K34/L34,"-"),"-")</f>
        <v/>
      </c>
      <c r="N34" s="75" t="n"/>
      <c r="O34" s="74" t="n">
        <v>5</v>
      </c>
      <c r="P34" s="74">
        <f>IFERROR(IF(O34&gt;0,N34/O34,"-"),"-")</f>
        <v/>
      </c>
      <c r="Q34" s="75" t="n">
        <v>0</v>
      </c>
      <c r="R34" s="60" t="n"/>
      <c r="S34" s="60" t="n"/>
    </row>
    <row r="35" ht="15" customHeight="1">
      <c r="A35" s="76" t="inlineStr">
        <is>
          <t xml:space="preserve">  FUTURE COLLECTION</t>
        </is>
      </c>
      <c r="B35" s="77" t="n"/>
      <c r="C35" s="77" t="n"/>
      <c r="D35" s="77" t="n"/>
      <c r="E35" s="77" t="n"/>
      <c r="F35" s="72">
        <f>SUM(I35:O35)</f>
        <v/>
      </c>
      <c r="G35" s="72">
        <f>SUM(J35:P35)</f>
        <v/>
      </c>
      <c r="H35" s="73">
        <f>IFERROR(IF(G35&gt;0,F35/G35,"-"),"-")</f>
        <v/>
      </c>
      <c r="I35" s="74" t="n">
        <v>17</v>
      </c>
      <c r="J35" s="74">
        <f>IFERROR(IF(I35&gt;0,H35/I35,"-"),"-")</f>
        <v/>
      </c>
      <c r="K35" s="75" t="n">
        <v>1</v>
      </c>
      <c r="L35" s="74" t="n">
        <v>24</v>
      </c>
      <c r="M35" s="74">
        <f>IFERROR(IF(L35&gt;0,K35/L35,"-"),"-")</f>
        <v/>
      </c>
      <c r="N35" s="75" t="n"/>
      <c r="O35" s="74" t="n">
        <v>6</v>
      </c>
      <c r="P35" s="74">
        <f>IFERROR(IF(O35&gt;0,N35/O35,"-"),"-")</f>
        <v/>
      </c>
      <c r="Q35" s="75" t="n"/>
      <c r="R35" s="59" t="n"/>
      <c r="S35" s="59" t="n"/>
    </row>
    <row r="36" ht="15" customHeight="1">
      <c r="A36" s="70" t="n">
        <v>25</v>
      </c>
      <c r="B36" s="71" t="inlineStr">
        <is>
          <t>Future Collection</t>
        </is>
      </c>
      <c r="C36" s="70" t="inlineStr">
        <is>
          <t>SP0037</t>
        </is>
      </c>
      <c r="D36" s="71" t="inlineStr">
        <is>
          <t>Future Bakhoor 100 ml Perfume</t>
        </is>
      </c>
      <c r="E36" s="70" t="n"/>
      <c r="F36" s="72">
        <f>SUM(I36:O36)</f>
        <v/>
      </c>
      <c r="G36" s="72">
        <f>SUM(J36:P36)</f>
        <v/>
      </c>
      <c r="H36" s="73">
        <f>IFERROR(IF(G36&gt;0,F36/G36,"-"),"-")</f>
        <v/>
      </c>
      <c r="I36" s="74" t="n">
        <v>3</v>
      </c>
      <c r="J36" s="74">
        <f>IFERROR(IF(I36&gt;0,H36/I36,"-"),"-")</f>
        <v/>
      </c>
      <c r="K36" s="75" t="n"/>
      <c r="L36" s="74" t="n">
        <v>2</v>
      </c>
      <c r="M36" s="74">
        <f>IFERROR(IF(L36&gt;0,K36/L36,"-"),"-")</f>
        <v/>
      </c>
      <c r="N36" s="75" t="n"/>
      <c r="O36" s="74" t="n"/>
      <c r="P36" s="74">
        <f>IFERROR(IF(O36&gt;0,N36/O36,"-"),"-")</f>
        <v/>
      </c>
      <c r="Q36" s="75" t="n">
        <v>0</v>
      </c>
      <c r="R36" s="60" t="n"/>
      <c r="S36" s="60" t="n"/>
    </row>
    <row r="37" ht="15" customHeight="1">
      <c r="A37" s="70" t="n">
        <v>26</v>
      </c>
      <c r="B37" s="71" t="inlineStr">
        <is>
          <t>Future Collection</t>
        </is>
      </c>
      <c r="C37" s="70" t="inlineStr">
        <is>
          <t>SP0038</t>
        </is>
      </c>
      <c r="D37" s="71" t="inlineStr">
        <is>
          <t>Future Oud 100 ml Perfume</t>
        </is>
      </c>
      <c r="E37" s="70" t="n"/>
      <c r="F37" s="72">
        <f>SUM(I37:O37)</f>
        <v/>
      </c>
      <c r="G37" s="72">
        <f>SUM(J37:P37)</f>
        <v/>
      </c>
      <c r="H37" s="73">
        <f>IFERROR(IF(G37&gt;0,F37/G37,"-"),"-")</f>
        <v/>
      </c>
      <c r="I37" s="74" t="n">
        <v>2</v>
      </c>
      <c r="J37" s="74">
        <f>IFERROR(IF(I37&gt;0,H37/I37,"-"),"-")</f>
        <v/>
      </c>
      <c r="K37" s="75" t="n"/>
      <c r="L37" s="74" t="n">
        <v>3</v>
      </c>
      <c r="M37" s="74">
        <f>IFERROR(IF(L37&gt;0,K37/L37,"-"),"-")</f>
        <v/>
      </c>
      <c r="N37" s="75" t="n"/>
      <c r="O37" s="74" t="n">
        <v>2</v>
      </c>
      <c r="P37" s="74">
        <f>IFERROR(IF(O37&gt;0,N37/O37,"-"),"-")</f>
        <v/>
      </c>
      <c r="Q37" s="75" t="n">
        <v>0</v>
      </c>
      <c r="R37" s="60" t="n"/>
      <c r="S37" s="60" t="n"/>
    </row>
    <row r="38" ht="15" customHeight="1">
      <c r="A38" s="76" t="inlineStr">
        <is>
          <t xml:space="preserve">  SPECIAL SETS</t>
        </is>
      </c>
      <c r="B38" s="77" t="n"/>
      <c r="C38" s="77" t="n"/>
      <c r="D38" s="77" t="n"/>
      <c r="E38" s="77" t="n"/>
      <c r="F38" s="72">
        <f>SUM(I38:O38)</f>
        <v/>
      </c>
      <c r="G38" s="72">
        <f>SUM(J38:P38)</f>
        <v/>
      </c>
      <c r="H38" s="73">
        <f>IFERROR(IF(G38&gt;0,F38/G38,"-"),"-")</f>
        <v/>
      </c>
      <c r="I38" s="74" t="n">
        <v>1</v>
      </c>
      <c r="J38" s="74">
        <f>IFERROR(IF(I38&gt;0,H38/I38,"-"),"-")</f>
        <v/>
      </c>
      <c r="K38" s="75" t="n"/>
      <c r="L38" s="74" t="n">
        <v>9</v>
      </c>
      <c r="M38" s="74">
        <f>IFERROR(IF(L38&gt;0,K38/L38,"-"),"-")</f>
        <v/>
      </c>
      <c r="N38" s="75" t="n"/>
      <c r="O38" s="74" t="n">
        <v>1</v>
      </c>
      <c r="P38" s="74">
        <f>IFERROR(IF(O38&gt;0,N38/O38,"-"),"-")</f>
        <v/>
      </c>
      <c r="Q38" s="75" t="n"/>
      <c r="R38" s="59" t="n"/>
      <c r="S38" s="59" t="n"/>
    </row>
    <row r="39" ht="15" customHeight="1">
      <c r="A39" s="70" t="n">
        <v>27</v>
      </c>
      <c r="B39" s="71" t="inlineStr">
        <is>
          <t>Special Sets</t>
        </is>
      </c>
      <c r="C39" s="70" t="inlineStr">
        <is>
          <t>SP0001</t>
        </is>
      </c>
      <c r="D39" s="71" t="inlineStr">
        <is>
          <t>White Oud</t>
        </is>
      </c>
      <c r="E39" s="70" t="n"/>
      <c r="F39" s="72">
        <f>SUM(I39:O39)</f>
        <v/>
      </c>
      <c r="G39" s="72">
        <f>SUM(J39:P39)</f>
        <v/>
      </c>
      <c r="H39" s="73">
        <f>IFERROR(IF(G39&gt;0,F39/G39,"-"),"-")</f>
        <v/>
      </c>
      <c r="I39" s="74" t="n"/>
      <c r="J39" s="74">
        <f>IFERROR(IF(I39&gt;0,H39/I39,"-"),"-")</f>
        <v/>
      </c>
      <c r="K39" s="75" t="n"/>
      <c r="L39" s="74" t="n">
        <v>1</v>
      </c>
      <c r="M39" s="74">
        <f>IFERROR(IF(L39&gt;0,K39/L39,"-"),"-")</f>
        <v/>
      </c>
      <c r="N39" s="75" t="n"/>
      <c r="O39" s="74" t="n"/>
      <c r="P39" s="74">
        <f>IFERROR(IF(O39&gt;0,N39/O39,"-"),"-")</f>
        <v/>
      </c>
      <c r="Q39" s="75" t="n">
        <v>0</v>
      </c>
      <c r="R39" s="60" t="n"/>
      <c r="S39" s="60" t="n"/>
    </row>
    <row r="40" ht="15" customHeight="1">
      <c r="A40" s="70" t="n">
        <v>28</v>
      </c>
      <c r="B40" s="71" t="inlineStr">
        <is>
          <t>Special Sets</t>
        </is>
      </c>
      <c r="C40" s="70" t="inlineStr">
        <is>
          <t>SP0007</t>
        </is>
      </c>
      <c r="D40" s="71" t="inlineStr">
        <is>
          <t>Reflection -T 100 ML</t>
        </is>
      </c>
      <c r="E40" s="70" t="n"/>
      <c r="F40" s="72">
        <f>SUM(I40:O40)</f>
        <v/>
      </c>
      <c r="G40" s="72">
        <f>SUM(J40:P40)</f>
        <v/>
      </c>
      <c r="H40" s="73">
        <f>IFERROR(IF(G40&gt;0,F40/G40,"-"),"-")</f>
        <v/>
      </c>
      <c r="I40" s="74" t="n">
        <v>1</v>
      </c>
      <c r="J40" s="74">
        <f>IFERROR(IF(I40&gt;0,H40/I40,"-"),"-")</f>
        <v/>
      </c>
      <c r="K40" s="75" t="n"/>
      <c r="L40" s="74" t="n">
        <v>1</v>
      </c>
      <c r="M40" s="74">
        <f>IFERROR(IF(L40&gt;0,K40/L40,"-"),"-")</f>
        <v/>
      </c>
      <c r="N40" s="75" t="n"/>
      <c r="O40" s="74" t="n">
        <v>1</v>
      </c>
      <c r="P40" s="74">
        <f>IFERROR(IF(O40&gt;0,N40/O40,"-"),"-")</f>
        <v/>
      </c>
      <c r="Q40" s="75" t="n">
        <v>0</v>
      </c>
      <c r="R40" s="60" t="n"/>
      <c r="S40" s="60" t="n"/>
    </row>
    <row r="41" ht="15" customHeight="1">
      <c r="A41" s="76" t="inlineStr">
        <is>
          <t xml:space="preserve">  OILS &amp; CPO</t>
        </is>
      </c>
      <c r="B41" s="77" t="n"/>
      <c r="C41" s="77" t="n"/>
      <c r="D41" s="77" t="n"/>
      <c r="E41" s="77" t="n"/>
      <c r="F41" s="72">
        <f>SUM(I41:O41)</f>
        <v/>
      </c>
      <c r="G41" s="72">
        <f>SUM(J41:P41)</f>
        <v/>
      </c>
      <c r="H41" s="73">
        <f>IFERROR(IF(G41&gt;0,F41/G41,"-"),"-")</f>
        <v/>
      </c>
      <c r="I41" s="74" t="n"/>
      <c r="J41" s="74">
        <f>IFERROR(IF(I41&gt;0,H41/I41,"-"),"-")</f>
        <v/>
      </c>
      <c r="K41" s="75" t="n"/>
      <c r="L41" s="74" t="n"/>
      <c r="M41" s="74">
        <f>IFERROR(IF(L41&gt;0,K41/L41,"-"),"-")</f>
        <v/>
      </c>
      <c r="N41" s="75" t="n"/>
      <c r="O41" s="74" t="n"/>
      <c r="P41" s="74">
        <f>IFERROR(IF(O41&gt;0,N41/O41,"-"),"-")</f>
        <v/>
      </c>
      <c r="Q41" s="75" t="n"/>
      <c r="R41" s="59" t="n"/>
      <c r="S41" s="59" t="n"/>
    </row>
    <row r="42" ht="15" customHeight="1">
      <c r="A42" s="70" t="n">
        <v>29</v>
      </c>
      <c r="B42" s="71" t="inlineStr">
        <is>
          <t>Oils &amp; CPO</t>
        </is>
      </c>
      <c r="C42" s="70" t="inlineStr">
        <is>
          <t>I00005</t>
        </is>
      </c>
      <c r="D42" s="71" t="inlineStr">
        <is>
          <t>NO.4 Oil -8 ML</t>
        </is>
      </c>
      <c r="E42" s="70" t="n"/>
      <c r="F42" s="72">
        <f>SUM(I42:O42)</f>
        <v/>
      </c>
      <c r="G42" s="72">
        <f>SUM(J42:P42)</f>
        <v/>
      </c>
      <c r="H42" s="73">
        <f>IFERROR(IF(G42&gt;0,F42/G42,"-"),"-")</f>
        <v/>
      </c>
      <c r="I42" s="74" t="n"/>
      <c r="J42" s="74">
        <f>IFERROR(IF(I42&gt;0,H42/I42,"-"),"-")</f>
        <v/>
      </c>
      <c r="K42" s="75" t="n"/>
      <c r="L42" s="74" t="n">
        <v>2</v>
      </c>
      <c r="M42" s="74">
        <f>IFERROR(IF(L42&gt;0,K42/L42,"-"),"-")</f>
        <v/>
      </c>
      <c r="N42" s="75" t="n"/>
      <c r="O42" s="74" t="n"/>
      <c r="P42" s="74">
        <f>IFERROR(IF(O42&gt;0,N42/O42,"-"),"-")</f>
        <v/>
      </c>
      <c r="Q42" s="75" t="n">
        <v>0</v>
      </c>
      <c r="R42" s="60" t="n"/>
      <c r="S42" s="60" t="n"/>
    </row>
    <row r="43" ht="15" customHeight="1">
      <c r="A43" s="70" t="n">
        <v>30</v>
      </c>
      <c r="B43" s="71" t="inlineStr">
        <is>
          <t>Oils &amp; CPO</t>
        </is>
      </c>
      <c r="C43" s="70" t="inlineStr">
        <is>
          <t>I00011</t>
        </is>
      </c>
      <c r="D43" s="71" t="inlineStr">
        <is>
          <t>Midnight Oil 8ml</t>
        </is>
      </c>
      <c r="E43" s="70" t="n"/>
      <c r="F43" s="72">
        <f>SUM(I43:O43)</f>
        <v/>
      </c>
      <c r="G43" s="72">
        <f>SUM(J43:P43)</f>
        <v/>
      </c>
      <c r="H43" s="73">
        <f>IFERROR(IF(G43&gt;0,F43/G43,"-"),"-")</f>
        <v/>
      </c>
      <c r="I43" s="74" t="n">
        <v>3</v>
      </c>
      <c r="J43" s="74">
        <f>IFERROR(IF(I43&gt;0,H43/I43,"-"),"-")</f>
        <v/>
      </c>
      <c r="K43" s="75" t="n"/>
      <c r="L43" s="74" t="n">
        <v>4</v>
      </c>
      <c r="M43" s="74">
        <f>IFERROR(IF(L43&gt;0,K43/L43,"-"),"-")</f>
        <v/>
      </c>
      <c r="N43" s="75" t="n"/>
      <c r="O43" s="74" t="n">
        <v>1</v>
      </c>
      <c r="P43" s="74">
        <f>IFERROR(IF(O43&gt;0,N43/O43,"-"),"-")</f>
        <v/>
      </c>
      <c r="Q43" s="75" t="n">
        <v>0</v>
      </c>
      <c r="R43" s="60" t="n"/>
      <c r="S43" s="60" t="n"/>
    </row>
    <row r="44">
      <c r="A44" s="77" t="n"/>
      <c r="B44" s="77" t="n"/>
      <c r="C44" s="77" t="n"/>
      <c r="D44" s="77" t="n"/>
      <c r="E44" s="77" t="n"/>
      <c r="F44" s="72">
        <f>SUM(I44:O44)</f>
        <v/>
      </c>
      <c r="G44" s="72">
        <f>SUM(J44:P44)</f>
        <v/>
      </c>
      <c r="H44" s="73">
        <f>IFERROR(IF(G44&gt;0,F44/G44,"-"),"-")</f>
        <v/>
      </c>
      <c r="I44" s="74" t="n"/>
      <c r="J44" s="74">
        <f>IFERROR(IF(I44&gt;0,H44/I44,"-"),"-")</f>
        <v/>
      </c>
      <c r="K44" s="75" t="n"/>
      <c r="L44" s="74" t="n">
        <v>2</v>
      </c>
      <c r="M44" s="74">
        <f>IFERROR(IF(L44&gt;0,K44/L44,"-"),"-")</f>
        <v/>
      </c>
      <c r="N44" s="75" t="n"/>
      <c r="O44" s="74" t="n">
        <v>2</v>
      </c>
      <c r="P44" s="74">
        <f>IFERROR(IF(O44&gt;0,N44/O44,"-"),"-")</f>
        <v/>
      </c>
      <c r="Q44" s="75" t="n"/>
      <c r="R44" s="59" t="n"/>
      <c r="S44" s="59" t="n"/>
    </row>
    <row r="45">
      <c r="A45" s="77" t="n"/>
      <c r="B45" s="77" t="n"/>
      <c r="C45" s="77" t="n"/>
      <c r="D45" s="77" t="n"/>
      <c r="E45" s="77" t="n">
        <v>1</v>
      </c>
      <c r="F45" s="72">
        <f>SUM(I45:O45)</f>
        <v/>
      </c>
      <c r="G45" s="72">
        <f>SUM(J45:P45)</f>
        <v/>
      </c>
      <c r="H45" s="73">
        <f>IFERROR(IF(G45&gt;0,F45/G45,"-"),"-")</f>
        <v/>
      </c>
      <c r="I45" s="74" t="n"/>
      <c r="J45" s="74">
        <f>IFERROR(IF(I45&gt;0,H45/I45,"-"),"-")</f>
        <v/>
      </c>
      <c r="K45" s="75" t="n"/>
      <c r="L45" s="74" t="n">
        <v>2</v>
      </c>
      <c r="M45" s="74">
        <f>IFERROR(IF(L45&gt;0,K45/L45,"-"),"-")</f>
        <v/>
      </c>
      <c r="N45" s="75" t="n"/>
      <c r="O45" s="74" t="n"/>
      <c r="P45" s="74">
        <f>IFERROR(IF(O45&gt;0,N45/O45,"-"),"-")</f>
        <v/>
      </c>
      <c r="Q45" s="75" t="n"/>
      <c r="R45" s="59" t="n"/>
      <c r="S45" s="59" t="n"/>
    </row>
    <row r="46">
      <c r="A46" s="77" t="n"/>
      <c r="B46" s="77" t="n"/>
      <c r="C46" s="77" t="n"/>
      <c r="D46" s="77" t="n"/>
      <c r="E46" s="77" t="n"/>
      <c r="F46" s="72">
        <f>SUM(I46:O46)</f>
        <v/>
      </c>
      <c r="G46" s="72">
        <f>SUM(J46:P46)</f>
        <v/>
      </c>
      <c r="H46" s="73">
        <f>IFERROR(IF(G46&gt;0,F46/G46,"-"),"-")</f>
        <v/>
      </c>
      <c r="I46" s="74" t="n">
        <v>6</v>
      </c>
      <c r="J46" s="74">
        <f>IFERROR(IF(I46&gt;0,H46/I46,"-"),"-")</f>
        <v/>
      </c>
      <c r="K46" s="75" t="n"/>
      <c r="L46" s="74" t="n">
        <v>1</v>
      </c>
      <c r="M46" s="74">
        <f>IFERROR(IF(L46&gt;0,K46/L46,"-"),"-")</f>
        <v/>
      </c>
      <c r="N46" s="75" t="n"/>
      <c r="O46" s="74" t="n">
        <v>7</v>
      </c>
      <c r="P46" s="74">
        <f>IFERROR(IF(O46&gt;0,N46/O46,"-"),"-")</f>
        <v/>
      </c>
      <c r="Q46" s="75" t="n"/>
      <c r="R46" s="59" t="n"/>
      <c r="S46" s="59" t="n"/>
    </row>
    <row r="47">
      <c r="A47" s="77" t="n"/>
      <c r="B47" s="77" t="n"/>
      <c r="C47" s="77" t="n"/>
      <c r="D47" s="77" t="n"/>
      <c r="E47" s="77" t="n">
        <v>2</v>
      </c>
      <c r="F47" s="72">
        <f>SUM(I47:O47)</f>
        <v/>
      </c>
      <c r="G47" s="72">
        <f>SUM(J47:P47)</f>
        <v/>
      </c>
      <c r="H47" s="73">
        <f>IFERROR(IF(G47&gt;0,F47/G47,"-"),"-")</f>
        <v/>
      </c>
      <c r="I47" s="74" t="n">
        <v>8</v>
      </c>
      <c r="J47" s="74">
        <f>IFERROR(IF(I47&gt;0,H47/I47,"-"),"-")</f>
        <v/>
      </c>
      <c r="K47" s="75" t="n">
        <v>3</v>
      </c>
      <c r="L47" s="74" t="n">
        <v>24</v>
      </c>
      <c r="M47" s="74">
        <f>IFERROR(IF(L47&gt;0,K47/L47,"-"),"-")</f>
        <v/>
      </c>
      <c r="N47" s="75" t="n">
        <v>2</v>
      </c>
      <c r="O47" s="74" t="n">
        <v>7</v>
      </c>
      <c r="P47" s="74">
        <f>IFERROR(IF(O47&gt;0,N47/O47,"-"),"-")</f>
        <v/>
      </c>
      <c r="Q47" s="75" t="n"/>
      <c r="R47" s="59" t="n"/>
      <c r="S47" s="59" t="n"/>
    </row>
    <row r="48">
      <c r="A48" s="77" t="n"/>
      <c r="B48" s="77" t="n"/>
      <c r="C48" s="77" t="n"/>
      <c r="D48" s="77" t="n"/>
      <c r="E48" s="77" t="n"/>
      <c r="F48" s="72">
        <f>SUM(I48:O48)</f>
        <v/>
      </c>
      <c r="G48" s="72">
        <f>SUM(J48:P48)</f>
        <v/>
      </c>
      <c r="H48" s="73">
        <f>IFERROR(IF(G48&gt;0,F48/G48,"-"),"-")</f>
        <v/>
      </c>
      <c r="I48" s="74" t="n"/>
      <c r="J48" s="74">
        <f>IFERROR(IF(I48&gt;0,H48/I48,"-"),"-")</f>
        <v/>
      </c>
      <c r="K48" s="75" t="n">
        <v>1</v>
      </c>
      <c r="L48" s="74" t="n">
        <v>1</v>
      </c>
      <c r="M48" s="74">
        <f>IFERROR(IF(L48&gt;0,K48/L48,"-"),"-")</f>
        <v/>
      </c>
      <c r="N48" s="75" t="n"/>
      <c r="O48" s="74" t="n"/>
      <c r="P48" s="74">
        <f>IFERROR(IF(O48&gt;0,N48/O48,"-"),"-")</f>
        <v/>
      </c>
      <c r="Q48" s="75" t="n"/>
      <c r="R48" s="59" t="n"/>
      <c r="S48" s="59" t="n"/>
    </row>
    <row r="49">
      <c r="A49" s="77" t="n"/>
      <c r="B49" s="77" t="n"/>
      <c r="C49" s="77" t="n"/>
      <c r="D49" s="77" t="n"/>
      <c r="E49" s="77" t="n"/>
      <c r="F49" s="72">
        <f>SUM(I49:O49)</f>
        <v/>
      </c>
      <c r="G49" s="72">
        <f>SUM(J49:P49)</f>
        <v/>
      </c>
      <c r="H49" s="73">
        <f>IFERROR(IF(G49&gt;0,F49/G49,"-"),"-")</f>
        <v/>
      </c>
      <c r="I49" s="74" t="n">
        <v>1</v>
      </c>
      <c r="J49" s="74">
        <f>IFERROR(IF(I49&gt;0,H49/I49,"-"),"-")</f>
        <v/>
      </c>
      <c r="K49" s="75" t="n"/>
      <c r="L49" s="74" t="n"/>
      <c r="M49" s="74">
        <f>IFERROR(IF(L49&gt;0,K49/L49,"-"),"-")</f>
        <v/>
      </c>
      <c r="N49" s="75" t="n">
        <v>1</v>
      </c>
      <c r="O49" s="74" t="n"/>
      <c r="P49" s="74">
        <f>IFERROR(IF(O49&gt;0,N49/O49,"-"),"-")</f>
        <v/>
      </c>
      <c r="Q49" s="75" t="n"/>
      <c r="R49" s="59" t="n"/>
      <c r="S49" s="59" t="n"/>
    </row>
    <row r="50">
      <c r="A50" s="77" t="n"/>
      <c r="B50" s="77" t="n"/>
      <c r="C50" s="77" t="n"/>
      <c r="D50" s="77" t="n"/>
      <c r="E50" s="77" t="n">
        <v>1</v>
      </c>
      <c r="F50" s="72">
        <f>SUM(I50:O50)</f>
        <v/>
      </c>
      <c r="G50" s="72">
        <f>SUM(J50:P50)</f>
        <v/>
      </c>
      <c r="H50" s="73">
        <f>IFERROR(IF(G50&gt;0,F50/G50,"-"),"-")</f>
        <v/>
      </c>
      <c r="I50" s="74" t="n"/>
      <c r="J50" s="74">
        <f>IFERROR(IF(I50&gt;0,H50/I50,"-"),"-")</f>
        <v/>
      </c>
      <c r="K50" s="75" t="n"/>
      <c r="L50" s="74" t="n">
        <v>1</v>
      </c>
      <c r="M50" s="74">
        <f>IFERROR(IF(L50&gt;0,K50/L50,"-"),"-")</f>
        <v/>
      </c>
      <c r="N50" s="75" t="n">
        <v>1</v>
      </c>
      <c r="O50" s="74" t="n">
        <v>1</v>
      </c>
      <c r="P50" s="74">
        <f>IFERROR(IF(O50&gt;0,N50/O50,"-"),"-")</f>
        <v/>
      </c>
      <c r="Q50" s="75" t="n"/>
      <c r="R50" s="59" t="n"/>
      <c r="S50" s="59" t="n"/>
    </row>
    <row r="51">
      <c r="A51" s="77" t="n"/>
      <c r="B51" s="77" t="n"/>
      <c r="C51" s="77" t="n"/>
      <c r="D51" s="77" t="n"/>
      <c r="E51" s="77" t="n"/>
      <c r="F51" s="72">
        <f>SUM(I51:O51)</f>
        <v/>
      </c>
      <c r="G51" s="72">
        <f>SUM(J51:P51)</f>
        <v/>
      </c>
      <c r="H51" s="73">
        <f>IFERROR(IF(G51&gt;0,F51/G51,"-"),"-")</f>
        <v/>
      </c>
      <c r="I51" s="74" t="n"/>
      <c r="J51" s="74">
        <f>IFERROR(IF(I51&gt;0,H51/I51,"-"),"-")</f>
        <v/>
      </c>
      <c r="K51" s="75" t="n"/>
      <c r="L51" s="74" t="n"/>
      <c r="M51" s="74">
        <f>IFERROR(IF(L51&gt;0,K51/L51,"-"),"-")</f>
        <v/>
      </c>
      <c r="N51" s="75" t="n"/>
      <c r="O51" s="74" t="n">
        <v>1</v>
      </c>
      <c r="P51" s="74">
        <f>IFERROR(IF(O51&gt;0,N51/O51,"-"),"-")</f>
        <v/>
      </c>
      <c r="Q51" s="75" t="n"/>
      <c r="R51" s="59" t="n"/>
      <c r="S51" s="59" t="n"/>
    </row>
    <row r="52">
      <c r="A52" s="77" t="n"/>
      <c r="B52" s="77" t="n"/>
      <c r="C52" s="77" t="n"/>
      <c r="D52" s="77" t="n"/>
      <c r="E52" s="77" t="n">
        <v>1</v>
      </c>
      <c r="F52" s="72">
        <f>SUM(I52:O52)</f>
        <v/>
      </c>
      <c r="G52" s="72">
        <f>SUM(J52:P52)</f>
        <v/>
      </c>
      <c r="H52" s="73">
        <f>IFERROR(IF(G52&gt;0,F52/G52,"-"),"-")</f>
        <v/>
      </c>
      <c r="I52" s="74" t="n">
        <v>1</v>
      </c>
      <c r="J52" s="74">
        <f>IFERROR(IF(I52&gt;0,H52/I52,"-"),"-")</f>
        <v/>
      </c>
      <c r="K52" s="75" t="n"/>
      <c r="L52" s="74" t="n"/>
      <c r="M52" s="74">
        <f>IFERROR(IF(L52&gt;0,K52/L52,"-"),"-")</f>
        <v/>
      </c>
      <c r="N52" s="75" t="n">
        <v>1</v>
      </c>
      <c r="O52" s="74" t="n">
        <v>1</v>
      </c>
      <c r="P52" s="74">
        <f>IFERROR(IF(O52&gt;0,N52/O52,"-"),"-")</f>
        <v/>
      </c>
      <c r="Q52" s="75" t="n"/>
      <c r="R52" s="59" t="n"/>
      <c r="S52" s="59" t="n"/>
    </row>
    <row r="53">
      <c r="A53" s="77" t="n"/>
      <c r="B53" s="77" t="n"/>
      <c r="C53" s="77" t="n"/>
      <c r="D53" s="77" t="n"/>
      <c r="E53" s="77" t="n"/>
      <c r="F53" s="72">
        <f>SUM(I53:O53)</f>
        <v/>
      </c>
      <c r="G53" s="72">
        <f>SUM(J53:P53)</f>
        <v/>
      </c>
      <c r="H53" s="73">
        <f>IFERROR(IF(G53&gt;0,F53/G53,"-"),"-")</f>
        <v/>
      </c>
      <c r="I53" s="74" t="n">
        <v>4</v>
      </c>
      <c r="J53" s="74">
        <f>IFERROR(IF(I53&gt;0,H53/I53,"-"),"-")</f>
        <v/>
      </c>
      <c r="K53" s="75" t="n"/>
      <c r="L53" s="74" t="n"/>
      <c r="M53" s="74">
        <f>IFERROR(IF(L53&gt;0,K53/L53,"-"),"-")</f>
        <v/>
      </c>
      <c r="N53" s="75" t="n"/>
      <c r="O53" s="74" t="n">
        <v>1</v>
      </c>
      <c r="P53" s="74">
        <f>IFERROR(IF(O53&gt;0,N53/O53,"-"),"-")</f>
        <v/>
      </c>
      <c r="Q53" s="75" t="n"/>
      <c r="R53" s="59" t="n"/>
      <c r="S53" s="59" t="n"/>
    </row>
    <row r="54">
      <c r="A54" s="77" t="n"/>
      <c r="B54" s="77" t="n"/>
      <c r="C54" s="77" t="n"/>
      <c r="D54" s="77" t="n"/>
      <c r="E54" s="77" t="n"/>
      <c r="F54" s="72">
        <f>SUM(I54:O54)</f>
        <v/>
      </c>
      <c r="G54" s="72">
        <f>SUM(J54:P54)</f>
        <v/>
      </c>
      <c r="H54" s="73">
        <f>IFERROR(IF(G54&gt;0,F54/G54,"-"),"-")</f>
        <v/>
      </c>
      <c r="I54" s="74" t="n">
        <v>1</v>
      </c>
      <c r="J54" s="74">
        <f>IFERROR(IF(I54&gt;0,H54/I54,"-"),"-")</f>
        <v/>
      </c>
      <c r="K54" s="75" t="n"/>
      <c r="L54" s="74" t="n">
        <v>19</v>
      </c>
      <c r="M54" s="74">
        <f>IFERROR(IF(L54&gt;0,K54/L54,"-"),"-")</f>
        <v/>
      </c>
      <c r="N54" s="75" t="n"/>
      <c r="O54" s="74" t="n">
        <v>3</v>
      </c>
      <c r="P54" s="74">
        <f>IFERROR(IF(O54&gt;0,N54/O54,"-"),"-")</f>
        <v/>
      </c>
      <c r="Q54" s="75" t="n"/>
      <c r="R54" s="59" t="n"/>
      <c r="S54" s="59" t="n"/>
    </row>
    <row r="55">
      <c r="A55" s="77" t="n"/>
      <c r="B55" s="77" t="n"/>
      <c r="C55" s="77" t="n"/>
      <c r="D55" s="77" t="n"/>
      <c r="E55" s="77" t="n"/>
      <c r="F55" s="72">
        <f>SUM(I55:O55)</f>
        <v/>
      </c>
      <c r="G55" s="72">
        <f>SUM(J55:P55)</f>
        <v/>
      </c>
      <c r="H55" s="73">
        <f>IFERROR(IF(G55&gt;0,F55/G55,"-"),"-")</f>
        <v/>
      </c>
      <c r="I55" s="74" t="n">
        <v>1</v>
      </c>
      <c r="J55" s="74">
        <f>IFERROR(IF(I55&gt;0,H55/I55,"-"),"-")</f>
        <v/>
      </c>
      <c r="K55" s="75" t="n"/>
      <c r="L55" s="74" t="n">
        <v>7</v>
      </c>
      <c r="M55" s="74">
        <f>IFERROR(IF(L55&gt;0,K55/L55,"-"),"-")</f>
        <v/>
      </c>
      <c r="N55" s="75" t="n">
        <v>1</v>
      </c>
      <c r="O55" s="74" t="n">
        <v>3</v>
      </c>
      <c r="P55" s="74">
        <f>IFERROR(IF(O55&gt;0,N55/O55,"-"),"-")</f>
        <v/>
      </c>
      <c r="Q55" s="75" t="n"/>
      <c r="R55" s="59" t="n"/>
      <c r="S55" s="59" t="n"/>
    </row>
    <row r="56">
      <c r="A56" s="77" t="n"/>
      <c r="B56" s="77" t="n"/>
      <c r="C56" s="77" t="n"/>
      <c r="D56" s="77" t="n"/>
      <c r="E56" s="77" t="n"/>
      <c r="F56" s="72">
        <f>SUM(I56:O56)</f>
        <v/>
      </c>
      <c r="G56" s="72">
        <f>SUM(J56:P56)</f>
        <v/>
      </c>
      <c r="H56" s="73">
        <f>IFERROR(IF(G56&gt;0,F56/G56,"-"),"-")</f>
        <v/>
      </c>
      <c r="I56" s="74" t="n"/>
      <c r="J56" s="74">
        <f>IFERROR(IF(I56&gt;0,H56/I56,"-"),"-")</f>
        <v/>
      </c>
      <c r="K56" s="75" t="n"/>
      <c r="L56" s="74" t="n"/>
      <c r="M56" s="74">
        <f>IFERROR(IF(L56&gt;0,K56/L56,"-"),"-")</f>
        <v/>
      </c>
      <c r="N56" s="75" t="n"/>
      <c r="O56" s="74" t="n"/>
      <c r="P56" s="74">
        <f>IFERROR(IF(O56&gt;0,N56/O56,"-"),"-")</f>
        <v/>
      </c>
      <c r="Q56" s="75" t="n"/>
      <c r="R56" s="59" t="n"/>
      <c r="S56" s="59" t="n"/>
    </row>
    <row r="57">
      <c r="A57" s="77" t="n"/>
      <c r="B57" s="77" t="n"/>
      <c r="C57" s="77" t="n"/>
      <c r="D57" s="77" t="n"/>
      <c r="E57" s="77" t="n"/>
      <c r="F57" s="72">
        <f>SUM(I57:O57)</f>
        <v/>
      </c>
      <c r="G57" s="72">
        <f>SUM(J57:P57)</f>
        <v/>
      </c>
      <c r="H57" s="73">
        <f>IFERROR(IF(G57&gt;0,F57/G57,"-"),"-")</f>
        <v/>
      </c>
      <c r="I57" s="74" t="n">
        <v>386</v>
      </c>
      <c r="J57" s="74">
        <f>IFERROR(IF(I57&gt;0,H57/I57,"-"),"-")</f>
        <v/>
      </c>
      <c r="K57" s="75" t="n"/>
      <c r="L57" s="74" t="n">
        <v>820</v>
      </c>
      <c r="M57" s="74">
        <f>IFERROR(IF(L57&gt;0,K57/L57,"-"),"-")</f>
        <v/>
      </c>
      <c r="N57" s="75" t="n"/>
      <c r="O57" s="74" t="n">
        <v>286</v>
      </c>
      <c r="P57" s="74">
        <f>IFERROR(IF(O57&gt;0,N57/O57,"-"),"-")</f>
        <v/>
      </c>
      <c r="Q57" s="75" t="n"/>
      <c r="R57" s="59" t="n"/>
      <c r="S57" s="59" t="n"/>
    </row>
    <row r="58">
      <c r="A58" s="77" t="n"/>
      <c r="B58" s="77" t="n"/>
      <c r="C58" s="77" t="n"/>
      <c r="D58" s="77" t="n"/>
      <c r="E58" s="77" t="n"/>
      <c r="F58" s="72">
        <f>SUM(I58:O58)</f>
        <v/>
      </c>
      <c r="G58" s="72">
        <f>SUM(J58:P58)</f>
        <v/>
      </c>
      <c r="H58" s="73">
        <f>IFERROR(IF(G58&gt;0,F58/G58,"-"),"-")</f>
        <v/>
      </c>
      <c r="I58" s="74" t="n"/>
      <c r="J58" s="74">
        <f>IFERROR(IF(I58&gt;0,H58/I58,"-"),"-")</f>
        <v/>
      </c>
      <c r="K58" s="75" t="n"/>
      <c r="L58" s="74" t="n"/>
      <c r="M58" s="74">
        <f>IFERROR(IF(L58&gt;0,K58/L58,"-"),"-")</f>
        <v/>
      </c>
      <c r="N58" s="75" t="n"/>
      <c r="O58" s="74" t="n"/>
      <c r="P58" s="74">
        <f>IFERROR(IF(O58&gt;0,N58/O58,"-"),"-")</f>
        <v/>
      </c>
      <c r="Q58" s="75" t="n"/>
      <c r="R58" s="59" t="n"/>
      <c r="S58" s="59" t="n"/>
    </row>
    <row r="59">
      <c r="A59" s="77" t="n"/>
      <c r="B59" s="77" t="n"/>
      <c r="C59" s="77" t="n"/>
      <c r="D59" s="77" t="n"/>
      <c r="E59" s="77" t="n"/>
      <c r="F59" s="72">
        <f>SUM(I59:O59)</f>
        <v/>
      </c>
      <c r="G59" s="72">
        <f>SUM(J59:P59)</f>
        <v/>
      </c>
      <c r="H59" s="73">
        <f>IFERROR(IF(G59&gt;0,F59/G59,"-"),"-")</f>
        <v/>
      </c>
      <c r="I59" s="74" t="n"/>
      <c r="J59" s="74">
        <f>IFERROR(IF(I59&gt;0,H59/I59,"-"),"-")</f>
        <v/>
      </c>
      <c r="K59" s="75" t="n"/>
      <c r="L59" s="74" t="n">
        <v>9</v>
      </c>
      <c r="M59" s="74">
        <f>IFERROR(IF(L59&gt;0,K59/L59,"-"),"-")</f>
        <v/>
      </c>
      <c r="N59" s="75" t="n"/>
      <c r="O59" s="74" t="n">
        <v>1</v>
      </c>
      <c r="P59" s="74">
        <f>IFERROR(IF(O59&gt;0,N59/O59,"-"),"-")</f>
        <v/>
      </c>
      <c r="Q59" s="75" t="n"/>
      <c r="R59" s="59" t="n"/>
      <c r="S59" s="59" t="n"/>
    </row>
    <row r="60">
      <c r="A60" s="77" t="n"/>
      <c r="B60" s="77" t="n"/>
      <c r="C60" s="77" t="n"/>
      <c r="D60" s="77" t="n"/>
      <c r="E60" s="77" t="n"/>
      <c r="F60" s="72">
        <f>SUM(I60:O60)</f>
        <v/>
      </c>
      <c r="G60" s="72">
        <f>SUM(J60:P60)</f>
        <v/>
      </c>
      <c r="H60" s="73">
        <f>IFERROR(IF(G60&gt;0,F60/G60,"-"),"-")</f>
        <v/>
      </c>
      <c r="I60" s="74" t="n">
        <v>4</v>
      </c>
      <c r="J60" s="74">
        <f>IFERROR(IF(I60&gt;0,H60/I60,"-"),"-")</f>
        <v/>
      </c>
      <c r="K60" s="75" t="n">
        <v>3</v>
      </c>
      <c r="L60" s="74" t="n">
        <v>30</v>
      </c>
      <c r="M60" s="74">
        <f>IFERROR(IF(L60&gt;0,K60/L60,"-"),"-")</f>
        <v/>
      </c>
      <c r="N60" s="75" t="n"/>
      <c r="O60" s="74" t="n">
        <v>1</v>
      </c>
      <c r="P60" s="74">
        <f>IFERROR(IF(O60&gt;0,N60/O60,"-"),"-")</f>
        <v/>
      </c>
      <c r="Q60" s="75" t="n"/>
      <c r="R60" s="59" t="n"/>
      <c r="S60" s="59" t="n"/>
    </row>
    <row r="61">
      <c r="A61" s="77" t="n"/>
      <c r="B61" s="77" t="n"/>
      <c r="C61" s="77" t="n"/>
      <c r="D61" s="77" t="n"/>
      <c r="E61" s="77" t="n"/>
      <c r="F61" s="72">
        <f>SUM(I61:O61)</f>
        <v/>
      </c>
      <c r="G61" s="72">
        <f>SUM(J61:P61)</f>
        <v/>
      </c>
      <c r="H61" s="73">
        <f>IFERROR(IF(G61&gt;0,F61/G61,"-"),"-")</f>
        <v/>
      </c>
      <c r="I61" s="74" t="n"/>
      <c r="J61" s="74">
        <f>IFERROR(IF(I61&gt;0,H61/I61,"-"),"-")</f>
        <v/>
      </c>
      <c r="K61" s="75" t="n"/>
      <c r="L61" s="74" t="n"/>
      <c r="M61" s="74">
        <f>IFERROR(IF(L61&gt;0,K61/L61,"-"),"-")</f>
        <v/>
      </c>
      <c r="N61" s="75" t="n"/>
      <c r="O61" s="74" t="n"/>
      <c r="P61" s="74">
        <f>IFERROR(IF(O61&gt;0,N61/O61,"-"),"-")</f>
        <v/>
      </c>
      <c r="Q61" s="75" t="n"/>
      <c r="R61" s="59" t="n"/>
      <c r="S61" s="59" t="n"/>
    </row>
    <row r="62">
      <c r="A62" s="77" t="n"/>
      <c r="B62" s="77" t="n"/>
      <c r="C62" s="77" t="n"/>
      <c r="D62" s="77" t="n"/>
      <c r="E62" s="77" t="n"/>
      <c r="F62" s="72">
        <f>SUM(I62:O62)</f>
        <v/>
      </c>
      <c r="G62" s="72">
        <f>SUM(J62:P62)</f>
        <v/>
      </c>
      <c r="H62" s="73">
        <f>IFERROR(IF(G62&gt;0,F62/G62,"-"),"-")</f>
        <v/>
      </c>
      <c r="I62" s="74" t="n">
        <v>1</v>
      </c>
      <c r="J62" s="74">
        <f>IFERROR(IF(I62&gt;0,H62/I62,"-"),"-")</f>
        <v/>
      </c>
      <c r="K62" s="75" t="n"/>
      <c r="L62" s="74" t="n">
        <v>1</v>
      </c>
      <c r="M62" s="74">
        <f>IFERROR(IF(L62&gt;0,K62/L62,"-"),"-")</f>
        <v/>
      </c>
      <c r="N62" s="75" t="n"/>
      <c r="O62" s="74" t="n"/>
      <c r="P62" s="74">
        <f>IFERROR(IF(O62&gt;0,N62/O62,"-"),"-")</f>
        <v/>
      </c>
      <c r="Q62" s="75" t="n"/>
      <c r="R62" s="59" t="n"/>
      <c r="S62" s="59" t="n"/>
    </row>
    <row r="63">
      <c r="A63" s="77" t="n"/>
      <c r="B63" s="77" t="n"/>
      <c r="C63" s="77" t="n"/>
      <c r="D63" s="77" t="n"/>
      <c r="E63" s="77" t="n"/>
      <c r="F63" s="72">
        <f>SUM(I63:O63)</f>
        <v/>
      </c>
      <c r="G63" s="72">
        <f>SUM(J63:P63)</f>
        <v/>
      </c>
      <c r="H63" s="73">
        <f>IFERROR(IF(G63&gt;0,F63/G63,"-"),"-")</f>
        <v/>
      </c>
      <c r="I63" s="74" t="n">
        <v>5</v>
      </c>
      <c r="J63" s="74">
        <f>IFERROR(IF(I63&gt;0,H63/I63,"-"),"-")</f>
        <v/>
      </c>
      <c r="K63" s="75" t="n"/>
      <c r="L63" s="74" t="n"/>
      <c r="M63" s="74">
        <f>IFERROR(IF(L63&gt;0,K63/L63,"-"),"-")</f>
        <v/>
      </c>
      <c r="N63" s="75" t="n"/>
      <c r="O63" s="74" t="n"/>
      <c r="P63" s="74">
        <f>IFERROR(IF(O63&gt;0,N63/O63,"-"),"-")</f>
        <v/>
      </c>
      <c r="Q63" s="75" t="n"/>
      <c r="R63" s="59" t="n"/>
      <c r="S63" s="59" t="n"/>
    </row>
    <row r="64">
      <c r="A64" s="77" t="n"/>
      <c r="B64" s="77" t="n"/>
      <c r="C64" s="77" t="n"/>
      <c r="D64" s="77" t="n"/>
      <c r="E64" s="77" t="n"/>
      <c r="F64" s="72">
        <f>SUM(I64:O64)</f>
        <v/>
      </c>
      <c r="G64" s="72">
        <f>SUM(J64:P64)</f>
        <v/>
      </c>
      <c r="H64" s="73">
        <f>IFERROR(IF(G64&gt;0,F64/G64,"-"),"-")</f>
        <v/>
      </c>
      <c r="I64" s="74" t="n"/>
      <c r="J64" s="74">
        <f>IFERROR(IF(I64&gt;0,H64/I64,"-"),"-")</f>
        <v/>
      </c>
      <c r="K64" s="75" t="n"/>
      <c r="L64" s="74" t="n"/>
      <c r="M64" s="74">
        <f>IFERROR(IF(L64&gt;0,K64/L64,"-"),"-")</f>
        <v/>
      </c>
      <c r="N64" s="75" t="n"/>
      <c r="O64" s="74" t="n"/>
      <c r="P64" s="74">
        <f>IFERROR(IF(O64&gt;0,N64/O64,"-"),"-")</f>
        <v/>
      </c>
      <c r="Q64" s="75" t="n"/>
      <c r="R64" s="59" t="n"/>
      <c r="S64" s="59" t="n"/>
    </row>
  </sheetData>
  <mergeCells count="5">
    <mergeCell ref="A1:AZ1"/>
    <mergeCell ref="O3"/>
    <mergeCell ref="I3"/>
    <mergeCell ref="L3"/>
    <mergeCell ref="A2:AZ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B5E20"/>
    <outlinePr summaryBelow="1" summaryRight="1"/>
    <pageSetUpPr/>
  </sheetPr>
  <dimension ref="A1:AZ64"/>
  <sheetViews>
    <sheetView showGridLines="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2" customWidth="1" min="4" max="4"/>
    <col width="25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7.5" customWidth="1" min="18" max="18"/>
    <col width="9" customWidth="1" min="19" max="19"/>
  </cols>
  <sheetData>
    <row r="1" ht="25" customHeight="1">
      <c r="A1" s="55" t="inlineStr">
        <is>
          <t>EMIRATES PRIDE PERFUMES | TESTER CONSUMPTION | APR 2026 | ELMATLOUB</t>
        </is>
      </c>
    </row>
    <row r="2" ht="14" customHeight="1">
      <c r="A2" s="56" t="inlineStr">
        <is>
          <t>T=Testers Dispatched (blue) | S=Sales Generated (green) | Contrib%=Contribution %</t>
        </is>
      </c>
    </row>
    <row r="3" ht="30" customHeight="1">
      <c r="A3" s="57" t="inlineStr">
        <is>
          <t>#</t>
        </is>
      </c>
      <c r="B3" s="57" t="inlineStr">
        <is>
          <t>Category</t>
        </is>
      </c>
      <c r="C3" s="57" t="inlineStr">
        <is>
          <t>Sub-Category</t>
        </is>
      </c>
      <c r="D3" s="57" t="inlineStr">
        <is>
          <t>SKU Code</t>
        </is>
      </c>
      <c r="E3" s="57" t="inlineStr">
        <is>
          <t>Product Name</t>
        </is>
      </c>
      <c r="F3" s="57" t="inlineStr">
        <is>
          <t>Grand Total
Testers</t>
        </is>
      </c>
      <c r="G3" s="57" t="inlineStr">
        <is>
          <t>Grand Total
Sales</t>
        </is>
      </c>
      <c r="H3" s="57" t="inlineStr">
        <is>
          <t>Grand Total
Contrib%</t>
        </is>
      </c>
      <c r="I3" s="58" t="inlineStr">
        <is>
          <t>Fujairah CC</t>
        </is>
      </c>
      <c r="J3" s="59" t="n"/>
      <c r="K3" s="60" t="n"/>
      <c r="L3" s="58" t="inlineStr">
        <is>
          <t>Zahia CC</t>
        </is>
      </c>
      <c r="M3" s="59" t="n"/>
      <c r="N3" s="60" t="n"/>
      <c r="O3" s="58" t="inlineStr">
        <is>
          <t>Ajman CC</t>
        </is>
      </c>
      <c r="P3" s="59" t="n"/>
      <c r="Q3" s="60" t="n"/>
      <c r="R3" s="59" t="n"/>
      <c r="S3" s="59" t="n"/>
    </row>
    <row r="4" ht="44" customHeight="1">
      <c r="A4" s="61" t="n"/>
      <c r="B4" s="61" t="n"/>
      <c r="C4" s="61" t="n"/>
      <c r="D4" s="61" t="n"/>
      <c r="E4" s="61" t="n"/>
      <c r="F4" s="61" t="inlineStr">
        <is>
          <t>T</t>
        </is>
      </c>
      <c r="G4" s="61" t="inlineStr">
        <is>
          <t>S</t>
        </is>
      </c>
      <c r="H4" s="61" t="inlineStr">
        <is>
          <t>Contrib%</t>
        </is>
      </c>
      <c r="I4" s="62" t="inlineStr">
        <is>
          <t>T</t>
        </is>
      </c>
      <c r="J4" s="62" t="inlineStr">
        <is>
          <t>S</t>
        </is>
      </c>
      <c r="K4" s="62" t="inlineStr">
        <is>
          <t>Contrib%</t>
        </is>
      </c>
      <c r="L4" s="62" t="inlineStr">
        <is>
          <t>T</t>
        </is>
      </c>
      <c r="M4" s="62" t="inlineStr">
        <is>
          <t>S</t>
        </is>
      </c>
      <c r="N4" s="62" t="inlineStr">
        <is>
          <t>Contrib%</t>
        </is>
      </c>
      <c r="O4" s="62" t="inlineStr">
        <is>
          <t>T</t>
        </is>
      </c>
      <c r="P4" s="62" t="inlineStr">
        <is>
          <t>S</t>
        </is>
      </c>
      <c r="Q4" s="62" t="inlineStr">
        <is>
          <t>Contrib%</t>
        </is>
      </c>
      <c r="R4" s="60" t="n"/>
      <c r="S4" s="60" t="n"/>
    </row>
    <row r="5" ht="20" customHeight="1">
      <c r="A5" s="63" t="inlineStr">
        <is>
          <t>GRAND TOTAL</t>
        </is>
      </c>
      <c r="B5" s="59" t="n"/>
      <c r="C5" s="59" t="n"/>
      <c r="D5" s="59" t="n"/>
      <c r="E5" s="60" t="n"/>
      <c r="F5" s="64">
        <f>SUM(F12:F64)</f>
        <v/>
      </c>
      <c r="G5" s="64">
        <f>SUM(G12:G64)</f>
        <v/>
      </c>
      <c r="H5" s="65">
        <f>IFERROR(IF(G5&gt;0,F5/G5,"-"),"-")</f>
        <v/>
      </c>
      <c r="I5" s="66">
        <f>SUM(I12:I64)</f>
        <v/>
      </c>
      <c r="J5" s="66">
        <f>SUM(J12:J64)</f>
        <v/>
      </c>
      <c r="K5" s="67">
        <f>IFERROR(IF(J5&gt;0,I5/J5,"-"),"-")</f>
        <v/>
      </c>
      <c r="L5" s="66">
        <f>SUM(L12:L64)</f>
        <v/>
      </c>
      <c r="M5" s="66">
        <f>SUM(M12:M64)</f>
        <v/>
      </c>
      <c r="N5" s="67">
        <f>IFERROR(IF(M5&gt;0,L5/M5,"-"),"-")</f>
        <v/>
      </c>
      <c r="O5" s="66">
        <f>SUM(O12:O64)</f>
        <v/>
      </c>
      <c r="P5" s="66">
        <f>SUM(P12:P64)</f>
        <v/>
      </c>
      <c r="Q5" s="67">
        <f>IFERROR(IF(P5&gt;0,O5/P5,"-"),"-")</f>
        <v/>
      </c>
      <c r="R5" s="60" t="n"/>
      <c r="S5" s="60" t="n"/>
    </row>
    <row r="6" ht="15" customHeight="1">
      <c r="A6" s="68" t="n"/>
      <c r="B6" s="59" t="n"/>
      <c r="C6" s="59" t="n"/>
      <c r="D6" s="59" t="n"/>
      <c r="E6" s="59" t="n"/>
      <c r="F6" s="59" t="n"/>
      <c r="G6" s="59" t="n"/>
      <c r="H6" s="59" t="n"/>
      <c r="I6" s="59" t="n"/>
      <c r="J6" s="59" t="n"/>
      <c r="K6" s="59" t="n"/>
      <c r="L6" s="59" t="n"/>
      <c r="M6" s="59" t="n"/>
      <c r="N6" s="59" t="n"/>
      <c r="O6" s="59" t="n"/>
      <c r="P6" s="59" t="n"/>
      <c r="Q6" s="59" t="n"/>
      <c r="R6" s="59" t="n"/>
      <c r="S6" s="59" t="n"/>
    </row>
    <row r="7" ht="15" customHeight="1">
      <c r="A7" s="60" t="n"/>
      <c r="B7" s="69" t="n"/>
      <c r="C7" s="60" t="n"/>
      <c r="D7" s="69" t="n"/>
      <c r="E7" s="60" t="n"/>
      <c r="F7" s="60" t="n"/>
      <c r="G7" s="60" t="n"/>
      <c r="H7" s="60" t="n"/>
      <c r="I7" s="60" t="n"/>
      <c r="J7" s="60" t="n"/>
      <c r="K7" s="60" t="n"/>
      <c r="L7" s="60" t="n"/>
      <c r="M7" s="60" t="n"/>
      <c r="N7" s="60" t="n"/>
      <c r="O7" s="60" t="n"/>
      <c r="P7" s="60" t="n"/>
      <c r="Q7" s="60" t="n"/>
      <c r="R7" s="60" t="n"/>
      <c r="S7" s="60" t="n"/>
    </row>
    <row r="8" ht="15" customHeight="1">
      <c r="A8" s="60" t="n"/>
      <c r="B8" s="69" t="n"/>
      <c r="C8" s="60" t="n"/>
      <c r="D8" s="69" t="n"/>
      <c r="E8" s="60" t="n"/>
      <c r="F8" s="60" t="n"/>
      <c r="G8" s="60" t="n"/>
      <c r="H8" s="60" t="n"/>
      <c r="I8" s="60" t="n"/>
      <c r="J8" s="60" t="n"/>
      <c r="K8" s="60" t="n"/>
      <c r="L8" s="60" t="n"/>
      <c r="M8" s="60" t="n"/>
      <c r="N8" s="60" t="n"/>
      <c r="O8" s="60" t="n"/>
      <c r="P8" s="60" t="n"/>
      <c r="Q8" s="60" t="n"/>
      <c r="R8" s="60" t="n"/>
      <c r="S8" s="60" t="n"/>
    </row>
    <row r="9" ht="15" customHeight="1">
      <c r="A9" s="60" t="n"/>
      <c r="B9" s="69" t="n"/>
      <c r="C9" s="60" t="n"/>
      <c r="D9" s="69" t="n"/>
      <c r="E9" s="60" t="n"/>
      <c r="F9" s="60" t="n"/>
      <c r="G9" s="60" t="n"/>
      <c r="H9" s="60" t="n"/>
      <c r="I9" s="60" t="n"/>
      <c r="J9" s="60" t="n"/>
      <c r="K9" s="60" t="n"/>
      <c r="L9" s="60" t="n"/>
      <c r="M9" s="60" t="n"/>
      <c r="N9" s="60" t="n"/>
      <c r="O9" s="60" t="n"/>
      <c r="P9" s="60" t="n"/>
      <c r="Q9" s="60" t="n"/>
      <c r="R9" s="60" t="n"/>
      <c r="S9" s="60" t="n"/>
    </row>
    <row r="10" ht="15" customHeight="1">
      <c r="A10" s="60" t="n"/>
      <c r="B10" s="69" t="n"/>
      <c r="C10" s="60" t="n"/>
      <c r="D10" s="69" t="n"/>
      <c r="E10" s="60" t="n"/>
      <c r="F10" s="60" t="n"/>
      <c r="G10" s="60" t="n"/>
      <c r="H10" s="60" t="n"/>
      <c r="I10" s="60" t="n"/>
      <c r="J10" s="60" t="n"/>
      <c r="K10" s="60" t="n"/>
      <c r="L10" s="60" t="n"/>
      <c r="M10" s="60" t="n"/>
      <c r="N10" s="60" t="n"/>
      <c r="O10" s="60" t="n"/>
      <c r="P10" s="60" t="n"/>
      <c r="Q10" s="60" t="n"/>
      <c r="R10" s="60" t="n"/>
      <c r="S10" s="60" t="n"/>
    </row>
    <row r="11" ht="15" customHeight="1">
      <c r="A11" s="60" t="n"/>
      <c r="B11" s="69" t="n"/>
      <c r="C11" s="60" t="n"/>
      <c r="D11" s="69" t="n"/>
      <c r="E11" s="60" t="n"/>
      <c r="F11" s="60" t="n"/>
      <c r="G11" s="60" t="n"/>
      <c r="H11" s="60" t="n"/>
      <c r="I11" s="60" t="n"/>
      <c r="J11" s="60" t="n"/>
      <c r="K11" s="60" t="n"/>
      <c r="L11" s="60" t="n"/>
      <c r="M11" s="60" t="n"/>
      <c r="N11" s="60" t="n"/>
      <c r="O11" s="60" t="n"/>
      <c r="P11" s="60" t="n"/>
      <c r="Q11" s="60" t="n"/>
      <c r="R11" s="60" t="n"/>
      <c r="S11" s="60" t="n"/>
    </row>
    <row r="12" ht="15" customHeight="1">
      <c r="A12" s="70" t="n">
        <v>6</v>
      </c>
      <c r="B12" s="71" t="inlineStr">
        <is>
          <t>Bel Collections</t>
        </is>
      </c>
      <c r="C12" s="70" t="inlineStr">
        <is>
          <t>B00007</t>
        </is>
      </c>
      <c r="D12" s="71" t="inlineStr">
        <is>
          <t>Peaceful Life</t>
        </is>
      </c>
      <c r="E12" s="70" t="n"/>
      <c r="F12" s="72">
        <f>SUM(I12:O12)</f>
        <v/>
      </c>
      <c r="G12" s="72">
        <f>SUM(J12:P12)</f>
        <v/>
      </c>
      <c r="H12" s="73">
        <f>IFERROR(IF(G12&gt;0,F12/G12,"-"),"-")</f>
        <v/>
      </c>
      <c r="I12" s="74" t="n">
        <v>1</v>
      </c>
      <c r="J12" s="74">
        <f>IFERROR(IF(I12&gt;0,H12/I12,"-"),"-")</f>
        <v/>
      </c>
      <c r="K12" s="75" t="n"/>
      <c r="L12" s="74" t="n">
        <v>1</v>
      </c>
      <c r="M12" s="74">
        <f>IFERROR(IF(L12&gt;0,K12/L12,"-"),"-")</f>
        <v/>
      </c>
      <c r="N12" s="75" t="n"/>
      <c r="O12" s="74" t="n">
        <v>1</v>
      </c>
      <c r="P12" s="74">
        <f>IFERROR(IF(O12&gt;0,N12/O12,"-"),"-")</f>
        <v/>
      </c>
      <c r="Q12" s="75" t="n">
        <v>1</v>
      </c>
      <c r="R12" s="60" t="n"/>
      <c r="S12" s="60" t="n"/>
    </row>
    <row r="13" ht="15" customHeight="1">
      <c r="A13" s="70" t="n">
        <v>7</v>
      </c>
      <c r="B13" s="71" t="inlineStr">
        <is>
          <t>Bel Collections</t>
        </is>
      </c>
      <c r="C13" s="70" t="inlineStr">
        <is>
          <t>B00008</t>
        </is>
      </c>
      <c r="D13" s="71" t="inlineStr">
        <is>
          <t>Midnight Glow</t>
        </is>
      </c>
      <c r="E13" s="70" t="n"/>
      <c r="F13" s="72">
        <f>SUM(I13:O13)</f>
        <v/>
      </c>
      <c r="G13" s="72">
        <f>SUM(J13:P13)</f>
        <v/>
      </c>
      <c r="H13" s="73">
        <f>IFERROR(IF(G13&gt;0,F13/G13,"-"),"-")</f>
        <v/>
      </c>
      <c r="I13" s="74" t="n">
        <v>10</v>
      </c>
      <c r="J13" s="74">
        <f>IFERROR(IF(I13&gt;0,H13/I13,"-"),"-")</f>
        <v/>
      </c>
      <c r="K13" s="75" t="n">
        <v>3</v>
      </c>
      <c r="L13" s="74" t="n">
        <v>5</v>
      </c>
      <c r="M13" s="74">
        <f>IFERROR(IF(L13&gt;0,K13/L13,"-"),"-")</f>
        <v/>
      </c>
      <c r="N13" s="75" t="n">
        <v>2</v>
      </c>
      <c r="O13" s="74" t="n">
        <v>13</v>
      </c>
      <c r="P13" s="74">
        <f>IFERROR(IF(O13&gt;0,N13/O13,"-"),"-")</f>
        <v/>
      </c>
      <c r="Q13" s="75" t="n"/>
      <c r="R13" s="60" t="n"/>
      <c r="S13" s="60" t="n"/>
    </row>
    <row r="14" ht="15" customHeight="1">
      <c r="A14" s="70" t="n">
        <v>8</v>
      </c>
      <c r="B14" s="71" t="inlineStr">
        <is>
          <t>Bel Collections</t>
        </is>
      </c>
      <c r="C14" s="70" t="inlineStr">
        <is>
          <t>B00010</t>
        </is>
      </c>
      <c r="D14" s="71" t="inlineStr">
        <is>
          <t>Sakura</t>
        </is>
      </c>
      <c r="E14" s="70" t="n"/>
      <c r="F14" s="72">
        <f>SUM(I14:O14)</f>
        <v/>
      </c>
      <c r="G14" s="72">
        <f>SUM(J14:P14)</f>
        <v/>
      </c>
      <c r="H14" s="73">
        <f>IFERROR(IF(G14&gt;0,F14/G14,"-"),"-")</f>
        <v/>
      </c>
      <c r="I14" s="74" t="n">
        <v>1</v>
      </c>
      <c r="J14" s="74">
        <f>IFERROR(IF(I14&gt;0,H14/I14,"-"),"-")</f>
        <v/>
      </c>
      <c r="K14" s="75" t="n"/>
      <c r="L14" s="74" t="n"/>
      <c r="M14" s="74">
        <f>IFERROR(IF(L14&gt;0,K14/L14,"-"),"-")</f>
        <v/>
      </c>
      <c r="N14" s="75" t="n"/>
      <c r="O14" s="74" t="n">
        <v>2</v>
      </c>
      <c r="P14" s="74">
        <f>IFERROR(IF(O14&gt;0,N14/O14,"-"),"-")</f>
        <v/>
      </c>
      <c r="Q14" s="75" t="n"/>
      <c r="R14" s="60" t="n"/>
      <c r="S14" s="60" t="n"/>
    </row>
    <row r="15" ht="15" customHeight="1">
      <c r="A15" s="70" t="n">
        <v>9</v>
      </c>
      <c r="B15" s="71" t="inlineStr">
        <is>
          <t>Bel Collections</t>
        </is>
      </c>
      <c r="C15" s="70" t="inlineStr">
        <is>
          <t>B00012</t>
        </is>
      </c>
      <c r="D15" s="71" t="inlineStr">
        <is>
          <t>Ambergris</t>
        </is>
      </c>
      <c r="E15" s="70" t="n">
        <v>1</v>
      </c>
      <c r="F15" s="72">
        <f>SUM(I15:O15)</f>
        <v/>
      </c>
      <c r="G15" s="72">
        <f>SUM(J15:P15)</f>
        <v/>
      </c>
      <c r="H15" s="73">
        <f>IFERROR(IF(G15&gt;0,F15/G15,"-"),"-")</f>
        <v/>
      </c>
      <c r="I15" s="74" t="n">
        <v>4</v>
      </c>
      <c r="J15" s="74">
        <f>IFERROR(IF(I15&gt;0,H15/I15,"-"),"-")</f>
        <v/>
      </c>
      <c r="K15" s="75" t="n">
        <v>2</v>
      </c>
      <c r="L15" s="74" t="n">
        <v>13</v>
      </c>
      <c r="M15" s="74">
        <f>IFERROR(IF(L15&gt;0,K15/L15,"-"),"-")</f>
        <v/>
      </c>
      <c r="N15" s="75" t="n">
        <v>2</v>
      </c>
      <c r="O15" s="74" t="n">
        <v>13</v>
      </c>
      <c r="P15" s="74">
        <f>IFERROR(IF(O15&gt;0,N15/O15,"-"),"-")</f>
        <v/>
      </c>
      <c r="Q15" s="75" t="n">
        <v>3</v>
      </c>
      <c r="R15" s="60" t="n"/>
      <c r="S15" s="60" t="n"/>
    </row>
    <row r="16" ht="15" customHeight="1">
      <c r="A16" s="70" t="n">
        <v>10</v>
      </c>
      <c r="B16" s="71" t="inlineStr">
        <is>
          <t>Bel Collections</t>
        </is>
      </c>
      <c r="C16" s="70" t="inlineStr">
        <is>
          <t>B00015</t>
        </is>
      </c>
      <c r="D16" s="71" t="inlineStr">
        <is>
          <t>Hidden Leather</t>
        </is>
      </c>
      <c r="E16" s="70" t="n">
        <v>3</v>
      </c>
      <c r="F16" s="72">
        <f>SUM(I16:O16)</f>
        <v/>
      </c>
      <c r="G16" s="72">
        <f>SUM(J16:P16)</f>
        <v/>
      </c>
      <c r="H16" s="73">
        <f>IFERROR(IF(G16&gt;0,F16/G16,"-"),"-")</f>
        <v/>
      </c>
      <c r="I16" s="74" t="n">
        <v>33</v>
      </c>
      <c r="J16" s="74">
        <f>IFERROR(IF(I16&gt;0,H16/I16,"-"),"-")</f>
        <v/>
      </c>
      <c r="K16" s="75" t="n">
        <v>8</v>
      </c>
      <c r="L16" s="74" t="n">
        <v>34</v>
      </c>
      <c r="M16" s="74">
        <f>IFERROR(IF(L16&gt;0,K16/L16,"-"),"-")</f>
        <v/>
      </c>
      <c r="N16" s="75" t="n">
        <v>7</v>
      </c>
      <c r="O16" s="74" t="n">
        <v>76</v>
      </c>
      <c r="P16" s="74">
        <f>IFERROR(IF(O16&gt;0,N16/O16,"-"),"-")</f>
        <v/>
      </c>
      <c r="Q16" s="75" t="n">
        <v>9</v>
      </c>
      <c r="R16" s="60" t="n"/>
      <c r="S16" s="60" t="n"/>
    </row>
    <row r="17" ht="15" customHeight="1">
      <c r="A17" s="70" t="n">
        <v>11</v>
      </c>
      <c r="B17" s="71" t="inlineStr">
        <is>
          <t>Bel Collections</t>
        </is>
      </c>
      <c r="C17" s="70" t="inlineStr">
        <is>
          <t>B00017</t>
        </is>
      </c>
      <c r="D17" s="71" t="inlineStr">
        <is>
          <t>Thekrayat</t>
        </is>
      </c>
      <c r="E17" s="70" t="n">
        <v>1</v>
      </c>
      <c r="F17" s="72">
        <f>SUM(I17:O17)</f>
        <v/>
      </c>
      <c r="G17" s="72">
        <f>SUM(J17:P17)</f>
        <v/>
      </c>
      <c r="H17" s="73">
        <f>IFERROR(IF(G17&gt;0,F17/G17,"-"),"-")</f>
        <v/>
      </c>
      <c r="I17" s="74" t="n">
        <v>1</v>
      </c>
      <c r="J17" s="74">
        <f>IFERROR(IF(I17&gt;0,H17/I17,"-"),"-")</f>
        <v/>
      </c>
      <c r="K17" s="75" t="n"/>
      <c r="L17" s="74" t="n">
        <v>1</v>
      </c>
      <c r="M17" s="74">
        <f>IFERROR(IF(L17&gt;0,K17/L17,"-"),"-")</f>
        <v/>
      </c>
      <c r="N17" s="75" t="n">
        <v>1</v>
      </c>
      <c r="O17" s="74" t="n">
        <v>6</v>
      </c>
      <c r="P17" s="74">
        <f>IFERROR(IF(O17&gt;0,N17/O17,"-"),"-")</f>
        <v/>
      </c>
      <c r="Q17" s="75" t="n">
        <v>1</v>
      </c>
      <c r="R17" s="60" t="n"/>
      <c r="S17" s="60" t="n"/>
    </row>
    <row r="18" ht="15" customHeight="1">
      <c r="A18" s="70" t="n">
        <v>12</v>
      </c>
      <c r="B18" s="71" t="inlineStr">
        <is>
          <t>Bel Collections</t>
        </is>
      </c>
      <c r="C18" s="70" t="inlineStr">
        <is>
          <t>B00018</t>
        </is>
      </c>
      <c r="D18" s="71" t="inlineStr">
        <is>
          <t>Hidden Tobacco</t>
        </is>
      </c>
      <c r="E18" s="70" t="n">
        <v>1</v>
      </c>
      <c r="F18" s="72">
        <f>SUM(I18:O18)</f>
        <v/>
      </c>
      <c r="G18" s="72">
        <f>SUM(J18:P18)</f>
        <v/>
      </c>
      <c r="H18" s="73">
        <f>IFERROR(IF(G18&gt;0,F18/G18,"-"),"-")</f>
        <v/>
      </c>
      <c r="I18" s="74" t="n">
        <v>3</v>
      </c>
      <c r="J18" s="74">
        <f>IFERROR(IF(I18&gt;0,H18/I18,"-"),"-")</f>
        <v/>
      </c>
      <c r="K18" s="75" t="n"/>
      <c r="L18" s="74" t="n">
        <v>2</v>
      </c>
      <c r="M18" s="74">
        <f>IFERROR(IF(L18&gt;0,K18/L18,"-"),"-")</f>
        <v/>
      </c>
      <c r="N18" s="75" t="n"/>
      <c r="O18" s="74" t="n">
        <v>6</v>
      </c>
      <c r="P18" s="74">
        <f>IFERROR(IF(O18&gt;0,N18/O18,"-"),"-")</f>
        <v/>
      </c>
      <c r="Q18" s="75" t="n"/>
      <c r="R18" s="60" t="n"/>
      <c r="S18" s="60" t="n"/>
    </row>
    <row r="19" ht="15" customHeight="1">
      <c r="A19" s="70" t="n">
        <v>13</v>
      </c>
      <c r="B19" s="71" t="inlineStr">
        <is>
          <t>Bel Collections</t>
        </is>
      </c>
      <c r="C19" s="70" t="inlineStr">
        <is>
          <t>B00019</t>
        </is>
      </c>
      <c r="D19" s="71" t="inlineStr">
        <is>
          <t>Masters Perfume 100ml</t>
        </is>
      </c>
      <c r="E19" s="70" t="n"/>
      <c r="F19" s="72">
        <f>SUM(I19:O19)</f>
        <v/>
      </c>
      <c r="G19" s="72">
        <f>SUM(J19:P19)</f>
        <v/>
      </c>
      <c r="H19" s="73">
        <f>IFERROR(IF(G19&gt;0,F19/G19,"-"),"-")</f>
        <v/>
      </c>
      <c r="I19" s="74" t="n">
        <v>6</v>
      </c>
      <c r="J19" s="74">
        <f>IFERROR(IF(I19&gt;0,H19/I19,"-"),"-")</f>
        <v/>
      </c>
      <c r="K19" s="75" t="n"/>
      <c r="L19" s="74" t="n"/>
      <c r="M19" s="74">
        <f>IFERROR(IF(L19&gt;0,K19/L19,"-"),"-")</f>
        <v/>
      </c>
      <c r="N19" s="75" t="n"/>
      <c r="O19" s="74" t="n">
        <v>6</v>
      </c>
      <c r="P19" s="74">
        <f>IFERROR(IF(O19&gt;0,N19/O19,"-"),"-")</f>
        <v/>
      </c>
      <c r="Q19" s="75" t="n"/>
      <c r="R19" s="60" t="n"/>
      <c r="S19" s="60" t="n"/>
    </row>
    <row r="20" ht="15" customHeight="1">
      <c r="A20" s="70" t="n">
        <v>14</v>
      </c>
      <c r="B20" s="71" t="inlineStr">
        <is>
          <t>Bel Collections</t>
        </is>
      </c>
      <c r="C20" s="70" t="inlineStr">
        <is>
          <t>B00020</t>
        </is>
      </c>
      <c r="D20" s="71" t="inlineStr">
        <is>
          <t>Masters Signature 100ml Perfume - Tester</t>
        </is>
      </c>
      <c r="E20" s="70" t="n">
        <v>4</v>
      </c>
      <c r="F20" s="72">
        <f>SUM(I20:O20)</f>
        <v/>
      </c>
      <c r="G20" s="72">
        <f>SUM(J20:P20)</f>
        <v/>
      </c>
      <c r="H20" s="73">
        <f>IFERROR(IF(G20&gt;0,F20/G20,"-"),"-")</f>
        <v/>
      </c>
      <c r="I20" s="74" t="n">
        <v>23</v>
      </c>
      <c r="J20" s="74">
        <f>IFERROR(IF(I20&gt;0,H20/I20,"-"),"-")</f>
        <v/>
      </c>
      <c r="K20" s="75" t="n">
        <v>7</v>
      </c>
      <c r="L20" s="74" t="n">
        <v>34</v>
      </c>
      <c r="M20" s="74">
        <f>IFERROR(IF(L20&gt;0,K20/L20,"-"),"-")</f>
        <v/>
      </c>
      <c r="N20" s="75" t="n">
        <v>12</v>
      </c>
      <c r="O20" s="74" t="n">
        <v>62</v>
      </c>
      <c r="P20" s="74">
        <f>IFERROR(IF(O20&gt;0,N20/O20,"-"),"-")</f>
        <v/>
      </c>
      <c r="Q20" s="75" t="n">
        <v>5</v>
      </c>
      <c r="R20" s="60" t="n"/>
      <c r="S20" s="60" t="n"/>
    </row>
    <row r="21" ht="15" customHeight="1">
      <c r="A21" s="70" t="n">
        <v>15</v>
      </c>
      <c r="B21" s="71" t="inlineStr">
        <is>
          <t>Bel Collections</t>
        </is>
      </c>
      <c r="C21" s="70" t="inlineStr">
        <is>
          <t>B00021</t>
        </is>
      </c>
      <c r="D21" s="71" t="inlineStr">
        <is>
          <t>Midnight Bloom 100 ML</t>
        </is>
      </c>
      <c r="E21" s="70" t="n">
        <v>1</v>
      </c>
      <c r="F21" s="72">
        <f>SUM(I21:O21)</f>
        <v/>
      </c>
      <c r="G21" s="72">
        <f>SUM(J21:P21)</f>
        <v/>
      </c>
      <c r="H21" s="73">
        <f>IFERROR(IF(G21&gt;0,F21/G21,"-"),"-")</f>
        <v/>
      </c>
      <c r="I21" s="74" t="n">
        <v>14</v>
      </c>
      <c r="J21" s="74">
        <f>IFERROR(IF(I21&gt;0,H21/I21,"-"),"-")</f>
        <v/>
      </c>
      <c r="K21" s="75" t="n"/>
      <c r="L21" s="74" t="n">
        <v>2</v>
      </c>
      <c r="M21" s="74">
        <f>IFERROR(IF(L21&gt;0,K21/L21,"-"),"-")</f>
        <v/>
      </c>
      <c r="N21" s="75" t="n"/>
      <c r="O21" s="74" t="n">
        <v>6</v>
      </c>
      <c r="P21" s="74">
        <f>IFERROR(IF(O21&gt;0,N21/O21,"-"),"-")</f>
        <v/>
      </c>
      <c r="Q21" s="75" t="n"/>
      <c r="R21" s="60" t="n"/>
      <c r="S21" s="60" t="n"/>
    </row>
    <row r="22" ht="15" customHeight="1">
      <c r="A22" s="76" t="inlineStr">
        <is>
          <t xml:space="preserve">  CABALLO COLLECTION</t>
        </is>
      </c>
      <c r="B22" s="77" t="n"/>
      <c r="C22" s="77" t="n"/>
      <c r="D22" s="77" t="n"/>
      <c r="E22" s="77" t="n"/>
      <c r="F22" s="72">
        <f>SUM(I22:O22)</f>
        <v/>
      </c>
      <c r="G22" s="72">
        <f>SUM(J22:P22)</f>
        <v/>
      </c>
      <c r="H22" s="73">
        <f>IFERROR(IF(G22&gt;0,F22/G22,"-"),"-")</f>
        <v/>
      </c>
      <c r="I22" s="74" t="n">
        <v>6</v>
      </c>
      <c r="J22" s="74">
        <f>IFERROR(IF(I22&gt;0,H22/I22,"-"),"-")</f>
        <v/>
      </c>
      <c r="K22" s="75" t="n">
        <v>2</v>
      </c>
      <c r="L22" s="74" t="n">
        <v>10</v>
      </c>
      <c r="M22" s="74">
        <f>IFERROR(IF(L22&gt;0,K22/L22,"-"),"-")</f>
        <v/>
      </c>
      <c r="N22" s="75" t="n">
        <v>2</v>
      </c>
      <c r="O22" s="74" t="n">
        <v>6</v>
      </c>
      <c r="P22" s="74">
        <f>IFERROR(IF(O22&gt;0,N22/O22,"-"),"-")</f>
        <v/>
      </c>
      <c r="Q22" s="75" t="n">
        <v>1</v>
      </c>
      <c r="R22" s="59" t="n"/>
      <c r="S22" s="59" t="n"/>
    </row>
    <row r="23" ht="15" customHeight="1">
      <c r="A23" s="70" t="n">
        <v>16</v>
      </c>
      <c r="B23" s="71" t="inlineStr">
        <is>
          <t>Caballo Collection</t>
        </is>
      </c>
      <c r="C23" s="70" t="inlineStr">
        <is>
          <t>C00004</t>
        </is>
      </c>
      <c r="D23" s="71" t="inlineStr">
        <is>
          <t>Maroon Perfume 100 ML</t>
        </is>
      </c>
      <c r="E23" s="70" t="n">
        <v>1</v>
      </c>
      <c r="F23" s="72">
        <f>SUM(I23:O23)</f>
        <v/>
      </c>
      <c r="G23" s="72">
        <f>SUM(J23:P23)</f>
        <v/>
      </c>
      <c r="H23" s="73">
        <f>IFERROR(IF(G23&gt;0,F23/G23,"-"),"-")</f>
        <v/>
      </c>
      <c r="I23" s="74" t="n">
        <v>11</v>
      </c>
      <c r="J23" s="74">
        <f>IFERROR(IF(I23&gt;0,H23/I23,"-"),"-")</f>
        <v/>
      </c>
      <c r="K23" s="75" t="n">
        <v>1</v>
      </c>
      <c r="L23" s="74" t="n">
        <v>8</v>
      </c>
      <c r="M23" s="74">
        <f>IFERROR(IF(L23&gt;0,K23/L23,"-"),"-")</f>
        <v/>
      </c>
      <c r="N23" s="75" t="n">
        <v>1</v>
      </c>
      <c r="O23" s="74" t="n">
        <v>11</v>
      </c>
      <c r="P23" s="74">
        <f>IFERROR(IF(O23&gt;0,N23/O23,"-"),"-")</f>
        <v/>
      </c>
      <c r="Q23" s="75" t="n">
        <v>1</v>
      </c>
      <c r="R23" s="60" t="n"/>
      <c r="S23" s="60" t="n"/>
    </row>
    <row r="24" ht="15" customHeight="1">
      <c r="A24" s="70" t="n">
        <v>17</v>
      </c>
      <c r="B24" s="71" t="inlineStr">
        <is>
          <t>Caballo Collection</t>
        </is>
      </c>
      <c r="C24" s="70" t="inlineStr">
        <is>
          <t>C00010</t>
        </is>
      </c>
      <c r="D24" s="71" t="inlineStr">
        <is>
          <t>Maroon Intense</t>
        </is>
      </c>
      <c r="E24" s="70" t="n">
        <v>2</v>
      </c>
      <c r="F24" s="72">
        <f>SUM(I24:O24)</f>
        <v/>
      </c>
      <c r="G24" s="72">
        <f>SUM(J24:P24)</f>
        <v/>
      </c>
      <c r="H24" s="73">
        <f>IFERROR(IF(G24&gt;0,F24/G24,"-"),"-")</f>
        <v/>
      </c>
      <c r="I24" s="74" t="n">
        <v>8</v>
      </c>
      <c r="J24" s="74">
        <f>IFERROR(IF(I24&gt;0,H24/I24,"-"),"-")</f>
        <v/>
      </c>
      <c r="K24" s="75" t="n">
        <v>2</v>
      </c>
      <c r="L24" s="74" t="n">
        <v>11</v>
      </c>
      <c r="M24" s="74">
        <f>IFERROR(IF(L24&gt;0,K24/L24,"-"),"-")</f>
        <v/>
      </c>
      <c r="N24" s="75" t="n">
        <v>4</v>
      </c>
      <c r="O24" s="74" t="n">
        <v>10</v>
      </c>
      <c r="P24" s="74">
        <f>IFERROR(IF(O24&gt;0,N24/O24,"-"),"-")</f>
        <v/>
      </c>
      <c r="Q24" s="75" t="n">
        <v>1</v>
      </c>
      <c r="R24" s="60" t="n"/>
      <c r="S24" s="60" t="n"/>
    </row>
    <row r="25" ht="15" customHeight="1">
      <c r="A25" s="70" t="n">
        <v>18</v>
      </c>
      <c r="B25" s="71" t="inlineStr">
        <is>
          <t>Caballo Collection</t>
        </is>
      </c>
      <c r="C25" s="70" t="inlineStr">
        <is>
          <t>C00011</t>
        </is>
      </c>
      <c r="D25" s="71" t="inlineStr">
        <is>
          <t>Violet Perfume 100ml</t>
        </is>
      </c>
      <c r="E25" s="70" t="n">
        <v>4</v>
      </c>
      <c r="F25" s="72">
        <f>SUM(I25:O25)</f>
        <v/>
      </c>
      <c r="G25" s="72">
        <f>SUM(J25:P25)</f>
        <v/>
      </c>
      <c r="H25" s="73">
        <f>IFERROR(IF(G25&gt;0,F25/G25,"-"),"-")</f>
        <v/>
      </c>
      <c r="I25" s="74" t="n">
        <v>19</v>
      </c>
      <c r="J25" s="74">
        <f>IFERROR(IF(I25&gt;0,H25/I25,"-"),"-")</f>
        <v/>
      </c>
      <c r="K25" s="75" t="n">
        <v>5</v>
      </c>
      <c r="L25" s="74" t="n"/>
      <c r="M25" s="74">
        <f>IFERROR(IF(L25&gt;0,K25/L25,"-"),"-")</f>
        <v/>
      </c>
      <c r="N25" s="75" t="n">
        <v>3</v>
      </c>
      <c r="O25" s="74" t="n">
        <v>21</v>
      </c>
      <c r="P25" s="74">
        <f>IFERROR(IF(O25&gt;0,N25/O25,"-"),"-")</f>
        <v/>
      </c>
      <c r="Q25" s="75" t="n">
        <v>4</v>
      </c>
      <c r="R25" s="60" t="n"/>
      <c r="S25" s="60" t="n"/>
    </row>
    <row r="26" ht="15" customHeight="1">
      <c r="A26" s="70" t="n">
        <v>19</v>
      </c>
      <c r="B26" s="71" t="inlineStr">
        <is>
          <t>Caballo Collection</t>
        </is>
      </c>
      <c r="C26" s="70" t="inlineStr">
        <is>
          <t>C00012</t>
        </is>
      </c>
      <c r="D26" s="71" t="inlineStr">
        <is>
          <t>Navy Perfume 100ml</t>
        </is>
      </c>
      <c r="E26" s="70" t="n">
        <v>7</v>
      </c>
      <c r="F26" s="72">
        <f>SUM(I26:O26)</f>
        <v/>
      </c>
      <c r="G26" s="72">
        <f>SUM(J26:P26)</f>
        <v/>
      </c>
      <c r="H26" s="73">
        <f>IFERROR(IF(G26&gt;0,F26/G26,"-"),"-")</f>
        <v/>
      </c>
      <c r="I26" s="74" t="n">
        <v>53</v>
      </c>
      <c r="J26" s="74">
        <f>IFERROR(IF(I26&gt;0,H26/I26,"-"),"-")</f>
        <v/>
      </c>
      <c r="K26" s="75" t="n">
        <v>8</v>
      </c>
      <c r="L26" s="74" t="n"/>
      <c r="M26" s="74">
        <f>IFERROR(IF(L26&gt;0,K26/L26,"-"),"-")</f>
        <v/>
      </c>
      <c r="N26" s="75" t="n">
        <v>4</v>
      </c>
      <c r="O26" s="74" t="n">
        <v>40</v>
      </c>
      <c r="P26" s="74">
        <f>IFERROR(IF(O26&gt;0,N26/O26,"-"),"-")</f>
        <v/>
      </c>
      <c r="Q26" s="75" t="n">
        <v>5</v>
      </c>
      <c r="R26" s="60" t="n"/>
      <c r="S26" s="60" t="n"/>
    </row>
    <row r="27" ht="15" customHeight="1">
      <c r="A27" s="70" t="n">
        <v>20</v>
      </c>
      <c r="B27" s="71" t="inlineStr">
        <is>
          <t>Caballo Collection</t>
        </is>
      </c>
      <c r="C27" s="70" t="inlineStr">
        <is>
          <t>C00013</t>
        </is>
      </c>
      <c r="D27" s="71" t="inlineStr">
        <is>
          <t>White Overdose Perfume 100ml</t>
        </is>
      </c>
      <c r="E27" s="70" t="n"/>
      <c r="F27" s="72">
        <f>SUM(I27:O27)</f>
        <v/>
      </c>
      <c r="G27" s="72">
        <f>SUM(J27:P27)</f>
        <v/>
      </c>
      <c r="H27" s="73">
        <f>IFERROR(IF(G27&gt;0,F27/G27,"-"),"-")</f>
        <v/>
      </c>
      <c r="I27" s="74" t="n"/>
      <c r="J27" s="74">
        <f>IFERROR(IF(I27&gt;0,H27/I27,"-"),"-")</f>
        <v/>
      </c>
      <c r="K27" s="75" t="n"/>
      <c r="L27" s="74" t="n"/>
      <c r="M27" s="74">
        <f>IFERROR(IF(L27&gt;0,K27/L27,"-"),"-")</f>
        <v/>
      </c>
      <c r="N27" s="75" t="n"/>
      <c r="O27" s="74" t="n"/>
      <c r="P27" s="74">
        <f>IFERROR(IF(O27&gt;0,N27/O27,"-"),"-")</f>
        <v/>
      </c>
      <c r="Q27" s="75" t="n">
        <v>1</v>
      </c>
      <c r="R27" s="60" t="n"/>
      <c r="S27" s="60" t="n"/>
    </row>
    <row r="28" ht="15" customHeight="1">
      <c r="A28" s="70" t="n">
        <v>21</v>
      </c>
      <c r="B28" s="71" t="inlineStr">
        <is>
          <t>Caballo Collection</t>
        </is>
      </c>
      <c r="C28" s="70" t="inlineStr">
        <is>
          <t>C00014</t>
        </is>
      </c>
      <c r="D28" s="71" t="inlineStr">
        <is>
          <t>Black Perfume 100ml</t>
        </is>
      </c>
      <c r="E28" s="70" t="n"/>
      <c r="F28" s="72">
        <f>SUM(I28:O28)</f>
        <v/>
      </c>
      <c r="G28" s="72">
        <f>SUM(J28:P28)</f>
        <v/>
      </c>
      <c r="H28" s="73">
        <f>IFERROR(IF(G28&gt;0,F28/G28,"-"),"-")</f>
        <v/>
      </c>
      <c r="I28" s="74" t="n">
        <v>3</v>
      </c>
      <c r="J28" s="74">
        <f>IFERROR(IF(I28&gt;0,H28/I28,"-"),"-")</f>
        <v/>
      </c>
      <c r="K28" s="75" t="n"/>
      <c r="L28" s="74" t="n">
        <v>5</v>
      </c>
      <c r="M28" s="74">
        <f>IFERROR(IF(L28&gt;0,K28/L28,"-"),"-")</f>
        <v/>
      </c>
      <c r="N28" s="75" t="n">
        <v>1</v>
      </c>
      <c r="O28" s="74" t="n">
        <v>14</v>
      </c>
      <c r="P28" s="74">
        <f>IFERROR(IF(O28&gt;0,N28/O28,"-"),"-")</f>
        <v/>
      </c>
      <c r="Q28" s="75" t="n">
        <v>2</v>
      </c>
      <c r="R28" s="60" t="n"/>
      <c r="S28" s="60" t="n"/>
    </row>
    <row r="29" ht="15" customHeight="1">
      <c r="A29" s="76" t="inlineStr">
        <is>
          <t xml:space="preserve">  DAKHOON COLLECTION</t>
        </is>
      </c>
      <c r="B29" s="77" t="n"/>
      <c r="C29" s="77" t="n"/>
      <c r="D29" s="77" t="n"/>
      <c r="E29" s="77" t="n"/>
      <c r="F29" s="72">
        <f>SUM(I29:O29)</f>
        <v/>
      </c>
      <c r="G29" s="72">
        <f>SUM(J29:P29)</f>
        <v/>
      </c>
      <c r="H29" s="73">
        <f>IFERROR(IF(G29&gt;0,F29/G29,"-"),"-")</f>
        <v/>
      </c>
      <c r="I29" s="74" t="n">
        <v>6</v>
      </c>
      <c r="J29" s="74">
        <f>IFERROR(IF(I29&gt;0,H29/I29,"-"),"-")</f>
        <v/>
      </c>
      <c r="K29" s="75" t="n"/>
      <c r="L29" s="74" t="n">
        <v>4</v>
      </c>
      <c r="M29" s="74">
        <f>IFERROR(IF(L29&gt;0,K29/L29,"-"),"-")</f>
        <v/>
      </c>
      <c r="N29" s="75" t="n">
        <v>2</v>
      </c>
      <c r="O29" s="74" t="n">
        <v>6</v>
      </c>
      <c r="P29" s="74">
        <f>IFERROR(IF(O29&gt;0,N29/O29,"-"),"-")</f>
        <v/>
      </c>
      <c r="Q29" s="75" t="n">
        <v>1</v>
      </c>
      <c r="R29" s="59" t="n"/>
      <c r="S29" s="59" t="n"/>
    </row>
    <row r="30" ht="15" customHeight="1">
      <c r="A30" s="70" t="n">
        <v>22</v>
      </c>
      <c r="B30" s="71" t="inlineStr">
        <is>
          <t>Dakhoon Collection</t>
        </is>
      </c>
      <c r="C30" s="70" t="inlineStr">
        <is>
          <t>D00001</t>
        </is>
      </c>
      <c r="D30" s="71" t="inlineStr">
        <is>
          <t>Dakhoon Al Emarat</t>
        </is>
      </c>
      <c r="E30" s="70" t="n"/>
      <c r="F30" s="72">
        <f>SUM(I30:O30)</f>
        <v/>
      </c>
      <c r="G30" s="72">
        <f>SUM(J30:P30)</f>
        <v/>
      </c>
      <c r="H30" s="73">
        <f>IFERROR(IF(G30&gt;0,F30/G30,"-"),"-")</f>
        <v/>
      </c>
      <c r="I30" s="74" t="n"/>
      <c r="J30" s="74">
        <f>IFERROR(IF(I30&gt;0,H30/I30,"-"),"-")</f>
        <v/>
      </c>
      <c r="K30" s="75" t="n"/>
      <c r="L30" s="74" t="n"/>
      <c r="M30" s="74">
        <f>IFERROR(IF(L30&gt;0,K30/L30,"-"),"-")</f>
        <v/>
      </c>
      <c r="N30" s="75" t="n">
        <v>1</v>
      </c>
      <c r="O30" s="74" t="n">
        <v>4</v>
      </c>
      <c r="P30" s="74">
        <f>IFERROR(IF(O30&gt;0,N30/O30,"-"),"-")</f>
        <v/>
      </c>
      <c r="Q30" s="75" t="n"/>
      <c r="R30" s="60" t="n"/>
      <c r="S30" s="60" t="n"/>
    </row>
    <row r="31" ht="15" customHeight="1">
      <c r="A31" s="70" t="n">
        <v>23</v>
      </c>
      <c r="B31" s="71" t="inlineStr">
        <is>
          <t>Dakhoon Collection</t>
        </is>
      </c>
      <c r="C31" s="70" t="inlineStr">
        <is>
          <t>D00002</t>
        </is>
      </c>
      <c r="D31" s="71" t="inlineStr">
        <is>
          <t>Dakhoon Al Marasim</t>
        </is>
      </c>
      <c r="E31" s="70" t="n"/>
      <c r="F31" s="72">
        <f>SUM(I31:O31)</f>
        <v/>
      </c>
      <c r="G31" s="72">
        <f>SUM(J31:P31)</f>
        <v/>
      </c>
      <c r="H31" s="73">
        <f>IFERROR(IF(G31&gt;0,F31/G31,"-"),"-")</f>
        <v/>
      </c>
      <c r="I31" s="74" t="n"/>
      <c r="J31" s="74">
        <f>IFERROR(IF(I31&gt;0,H31/I31,"-"),"-")</f>
        <v/>
      </c>
      <c r="K31" s="75" t="n">
        <v>1</v>
      </c>
      <c r="L31" s="74" t="n"/>
      <c r="M31" s="74">
        <f>IFERROR(IF(L31&gt;0,K31/L31,"-"),"-")</f>
        <v/>
      </c>
      <c r="N31" s="75" t="n"/>
      <c r="O31" s="74" t="n"/>
      <c r="P31" s="74">
        <f>IFERROR(IF(O31&gt;0,N31/O31,"-"),"-")</f>
        <v/>
      </c>
      <c r="Q31" s="75" t="n"/>
      <c r="R31" s="60" t="n"/>
      <c r="S31" s="60" t="n"/>
    </row>
    <row r="32" ht="15" customHeight="1">
      <c r="A32" s="70" t="n">
        <v>24</v>
      </c>
      <c r="B32" s="71" t="inlineStr">
        <is>
          <t>Dakhoon Collection</t>
        </is>
      </c>
      <c r="C32" s="70" t="inlineStr">
        <is>
          <t>D00003</t>
        </is>
      </c>
      <c r="D32" s="71" t="inlineStr">
        <is>
          <t>Dakhoon Badia</t>
        </is>
      </c>
      <c r="E32" s="70" t="n">
        <v>1</v>
      </c>
      <c r="F32" s="72">
        <f>SUM(I32:O32)</f>
        <v/>
      </c>
      <c r="G32" s="72">
        <f>SUM(J32:P32)</f>
        <v/>
      </c>
      <c r="H32" s="73">
        <f>IFERROR(IF(G32&gt;0,F32/G32,"-"),"-")</f>
        <v/>
      </c>
      <c r="I32" s="74" t="n">
        <v>3</v>
      </c>
      <c r="J32" s="74">
        <f>IFERROR(IF(I32&gt;0,H32/I32,"-"),"-")</f>
        <v/>
      </c>
      <c r="K32" s="75" t="n">
        <v>2</v>
      </c>
      <c r="L32" s="74" t="n">
        <v>10</v>
      </c>
      <c r="M32" s="74">
        <f>IFERROR(IF(L32&gt;0,K32/L32,"-"),"-")</f>
        <v/>
      </c>
      <c r="N32" s="75" t="n">
        <v>2</v>
      </c>
      <c r="O32" s="74" t="n">
        <v>20</v>
      </c>
      <c r="P32" s="74">
        <f>IFERROR(IF(O32&gt;0,N32/O32,"-"),"-")</f>
        <v/>
      </c>
      <c r="Q32" s="75" t="n">
        <v>1</v>
      </c>
      <c r="R32" s="60" t="n"/>
      <c r="S32" s="60" t="n"/>
    </row>
    <row r="33" ht="15" customHeight="1">
      <c r="A33" s="70" t="n">
        <v>25</v>
      </c>
      <c r="B33" s="71" t="inlineStr">
        <is>
          <t>Dakhoon Collection</t>
        </is>
      </c>
      <c r="C33" s="70" t="inlineStr">
        <is>
          <t>D00004</t>
        </is>
      </c>
      <c r="D33" s="71" t="inlineStr">
        <is>
          <t>Dakhoon Al Dar</t>
        </is>
      </c>
      <c r="E33" s="70" t="n">
        <v>1</v>
      </c>
      <c r="F33" s="72">
        <f>SUM(I33:O33)</f>
        <v/>
      </c>
      <c r="G33" s="72">
        <f>SUM(J33:P33)</f>
        <v/>
      </c>
      <c r="H33" s="73">
        <f>IFERROR(IF(G33&gt;0,F33/G33,"-"),"-")</f>
        <v/>
      </c>
      <c r="I33" s="74" t="n">
        <v>1</v>
      </c>
      <c r="J33" s="74">
        <f>IFERROR(IF(I33&gt;0,H33/I33,"-"),"-")</f>
        <v/>
      </c>
      <c r="K33" s="75" t="n"/>
      <c r="L33" s="74" t="n"/>
      <c r="M33" s="74">
        <f>IFERROR(IF(L33&gt;0,K33/L33,"-"),"-")</f>
        <v/>
      </c>
      <c r="N33" s="75" t="n"/>
      <c r="O33" s="74" t="n">
        <v>3</v>
      </c>
      <c r="P33" s="74">
        <f>IFERROR(IF(O33&gt;0,N33/O33,"-"),"-")</f>
        <v/>
      </c>
      <c r="Q33" s="75" t="n"/>
      <c r="R33" s="60" t="n"/>
      <c r="S33" s="60" t="n"/>
    </row>
    <row r="34" ht="15" customHeight="1">
      <c r="A34" s="76" t="inlineStr">
        <is>
          <t xml:space="preserve">  OUD COLLECTION</t>
        </is>
      </c>
      <c r="B34" s="77" t="n"/>
      <c r="C34" s="77" t="n"/>
      <c r="D34" s="77" t="n"/>
      <c r="E34" s="77" t="n"/>
      <c r="F34" s="72">
        <f>SUM(I34:O34)</f>
        <v/>
      </c>
      <c r="G34" s="72">
        <f>SUM(J34:P34)</f>
        <v/>
      </c>
      <c r="H34" s="73">
        <f>IFERROR(IF(G34&gt;0,F34/G34,"-"),"-")</f>
        <v/>
      </c>
      <c r="I34" s="74" t="n"/>
      <c r="J34" s="74">
        <f>IFERROR(IF(I34&gt;0,H34/I34,"-"),"-")</f>
        <v/>
      </c>
      <c r="K34" s="75" t="n"/>
      <c r="L34" s="74" t="n"/>
      <c r="M34" s="74">
        <f>IFERROR(IF(L34&gt;0,K34/L34,"-"),"-")</f>
        <v/>
      </c>
      <c r="N34" s="75" t="n"/>
      <c r="O34" s="74" t="n">
        <v>1</v>
      </c>
      <c r="P34" s="74">
        <f>IFERROR(IF(O34&gt;0,N34/O34,"-"),"-")</f>
        <v/>
      </c>
      <c r="Q34" s="75" t="n">
        <v>1</v>
      </c>
      <c r="R34" s="59" t="n"/>
      <c r="S34" s="59" t="n"/>
    </row>
    <row r="35" ht="15" customHeight="1">
      <c r="A35" s="70" t="n">
        <v>26</v>
      </c>
      <c r="B35" s="71" t="inlineStr">
        <is>
          <t>Oud Collection</t>
        </is>
      </c>
      <c r="C35" s="70" t="inlineStr">
        <is>
          <t>O00001</t>
        </is>
      </c>
      <c r="D35" s="71" t="inlineStr">
        <is>
          <t>Oud Amiri</t>
        </is>
      </c>
      <c r="E35" s="70" t="n">
        <v>3</v>
      </c>
      <c r="F35" s="72">
        <f>SUM(I35:O35)</f>
        <v/>
      </c>
      <c r="G35" s="72">
        <f>SUM(J35:P35)</f>
        <v/>
      </c>
      <c r="H35" s="73">
        <f>IFERROR(IF(G35&gt;0,F35/G35,"-"),"-")</f>
        <v/>
      </c>
      <c r="I35" s="74" t="n">
        <v>12</v>
      </c>
      <c r="J35" s="74">
        <f>IFERROR(IF(I35&gt;0,H35/I35,"-"),"-")</f>
        <v/>
      </c>
      <c r="K35" s="75" t="n">
        <v>3</v>
      </c>
      <c r="L35" s="74" t="n">
        <v>17</v>
      </c>
      <c r="M35" s="74">
        <f>IFERROR(IF(L35&gt;0,K35/L35,"-"),"-")</f>
        <v/>
      </c>
      <c r="N35" s="75" t="n">
        <v>3</v>
      </c>
      <c r="O35" s="74" t="n">
        <v>27</v>
      </c>
      <c r="P35" s="74">
        <f>IFERROR(IF(O35&gt;0,N35/O35,"-"),"-")</f>
        <v/>
      </c>
      <c r="Q35" s="75" t="n">
        <v>3</v>
      </c>
      <c r="R35" s="60" t="n"/>
      <c r="S35" s="60" t="n"/>
    </row>
    <row r="36" ht="15" customHeight="1">
      <c r="A36" s="70" t="n">
        <v>27</v>
      </c>
      <c r="B36" s="71" t="inlineStr">
        <is>
          <t>Oud Collection</t>
        </is>
      </c>
      <c r="C36" s="70" t="inlineStr">
        <is>
          <t>O00002</t>
        </is>
      </c>
      <c r="D36" s="71" t="inlineStr">
        <is>
          <t>Oud Meydan</t>
        </is>
      </c>
      <c r="E36" s="70" t="n">
        <v>1</v>
      </c>
      <c r="F36" s="72">
        <f>SUM(I36:O36)</f>
        <v/>
      </c>
      <c r="G36" s="72">
        <f>SUM(J36:P36)</f>
        <v/>
      </c>
      <c r="H36" s="73">
        <f>IFERROR(IF(G36&gt;0,F36/G36,"-"),"-")</f>
        <v/>
      </c>
      <c r="I36" s="74" t="n">
        <v>2</v>
      </c>
      <c r="J36" s="74">
        <f>IFERROR(IF(I36&gt;0,H36/I36,"-"),"-")</f>
        <v/>
      </c>
      <c r="K36" s="75" t="n">
        <v>2</v>
      </c>
      <c r="L36" s="74" t="n">
        <v>1</v>
      </c>
      <c r="M36" s="74">
        <f>IFERROR(IF(L36&gt;0,K36/L36,"-"),"-")</f>
        <v/>
      </c>
      <c r="N36" s="75" t="n">
        <v>1</v>
      </c>
      <c r="O36" s="74" t="n"/>
      <c r="P36" s="74">
        <f>IFERROR(IF(O36&gt;0,N36/O36,"-"),"-")</f>
        <v/>
      </c>
      <c r="Q36" s="75" t="n">
        <v>1</v>
      </c>
      <c r="R36" s="60" t="n"/>
      <c r="S36" s="60" t="n"/>
    </row>
    <row r="37" ht="15" customHeight="1">
      <c r="A37" s="70" t="n">
        <v>28</v>
      </c>
      <c r="B37" s="71" t="inlineStr">
        <is>
          <t>Oud Collection</t>
        </is>
      </c>
      <c r="C37" s="70" t="inlineStr">
        <is>
          <t>O00006</t>
        </is>
      </c>
      <c r="D37" s="71" t="inlineStr">
        <is>
          <t>Oud Al Fakhamah</t>
        </is>
      </c>
      <c r="E37" s="70" t="n"/>
      <c r="F37" s="72">
        <f>SUM(I37:O37)</f>
        <v/>
      </c>
      <c r="G37" s="72">
        <f>SUM(J37:P37)</f>
        <v/>
      </c>
      <c r="H37" s="73">
        <f>IFERROR(IF(G37&gt;0,F37/G37,"-"),"-")</f>
        <v/>
      </c>
      <c r="I37" s="74" t="n">
        <v>3</v>
      </c>
      <c r="J37" s="74">
        <f>IFERROR(IF(I37&gt;0,H37/I37,"-"),"-")</f>
        <v/>
      </c>
      <c r="K37" s="75" t="n">
        <v>1</v>
      </c>
      <c r="L37" s="74" t="n">
        <v>2</v>
      </c>
      <c r="M37" s="74">
        <f>IFERROR(IF(L37&gt;0,K37/L37,"-"),"-")</f>
        <v/>
      </c>
      <c r="N37" s="75" t="n">
        <v>1</v>
      </c>
      <c r="O37" s="74" t="n"/>
      <c r="P37" s="74">
        <f>IFERROR(IF(O37&gt;0,N37/O37,"-"),"-")</f>
        <v/>
      </c>
      <c r="Q37" s="75" t="n">
        <v>1</v>
      </c>
      <c r="R37" s="60" t="n"/>
      <c r="S37" s="60" t="n"/>
    </row>
    <row r="38" ht="15" customHeight="1">
      <c r="A38" s="76" t="inlineStr">
        <is>
          <t xml:space="preserve">  FUTURE COLLECTION</t>
        </is>
      </c>
      <c r="B38" s="77" t="n"/>
      <c r="C38" s="77" t="n"/>
      <c r="D38" s="77" t="n"/>
      <c r="E38" s="77" t="n">
        <v>2</v>
      </c>
      <c r="F38" s="72">
        <f>SUM(I38:O38)</f>
        <v/>
      </c>
      <c r="G38" s="72">
        <f>SUM(J38:P38)</f>
        <v/>
      </c>
      <c r="H38" s="73">
        <f>IFERROR(IF(G38&gt;0,F38/G38,"-"),"-")</f>
        <v/>
      </c>
      <c r="I38" s="74" t="n">
        <v>5</v>
      </c>
      <c r="J38" s="74">
        <f>IFERROR(IF(I38&gt;0,H38/I38,"-"),"-")</f>
        <v/>
      </c>
      <c r="K38" s="75" t="n">
        <v>3</v>
      </c>
      <c r="L38" s="74" t="n">
        <v>10</v>
      </c>
      <c r="M38" s="74">
        <f>IFERROR(IF(L38&gt;0,K38/L38,"-"),"-")</f>
        <v/>
      </c>
      <c r="N38" s="75" t="n">
        <v>3</v>
      </c>
      <c r="O38" s="74" t="n">
        <v>15</v>
      </c>
      <c r="P38" s="74">
        <f>IFERROR(IF(O38&gt;0,N38/O38,"-"),"-")</f>
        <v/>
      </c>
      <c r="Q38" s="75" t="n">
        <v>2</v>
      </c>
      <c r="R38" s="59" t="n"/>
      <c r="S38" s="59" t="n"/>
    </row>
    <row r="39" ht="15" customHeight="1">
      <c r="A39" s="70" t="n">
        <v>29</v>
      </c>
      <c r="B39" s="71" t="inlineStr">
        <is>
          <t>Future Collection</t>
        </is>
      </c>
      <c r="C39" s="70" t="inlineStr">
        <is>
          <t>SP0037</t>
        </is>
      </c>
      <c r="D39" s="71" t="inlineStr">
        <is>
          <t>Future Bakhoor 100 ml Perfume</t>
        </is>
      </c>
      <c r="E39" s="70" t="n"/>
      <c r="F39" s="72">
        <f>SUM(I39:O39)</f>
        <v/>
      </c>
      <c r="G39" s="72">
        <f>SUM(J39:P39)</f>
        <v/>
      </c>
      <c r="H39" s="73">
        <f>IFERROR(IF(G39&gt;0,F39/G39,"-"),"-")</f>
        <v/>
      </c>
      <c r="I39" s="74" t="n"/>
      <c r="J39" s="74">
        <f>IFERROR(IF(I39&gt;0,H39/I39,"-"),"-")</f>
        <v/>
      </c>
      <c r="K39" s="75" t="n"/>
      <c r="L39" s="74" t="n"/>
      <c r="M39" s="74">
        <f>IFERROR(IF(L39&gt;0,K39/L39,"-"),"-")</f>
        <v/>
      </c>
      <c r="N39" s="75" t="n"/>
      <c r="O39" s="74" t="n">
        <v>1</v>
      </c>
      <c r="P39" s="74">
        <f>IFERROR(IF(O39&gt;0,N39/O39,"-"),"-")</f>
        <v/>
      </c>
      <c r="Q39" s="75" t="n"/>
      <c r="R39" s="60" t="n"/>
      <c r="S39" s="60" t="n"/>
    </row>
    <row r="40" ht="15" customHeight="1">
      <c r="A40" s="70" t="n">
        <v>30</v>
      </c>
      <c r="B40" s="71" t="inlineStr">
        <is>
          <t>Future Collection</t>
        </is>
      </c>
      <c r="C40" s="70" t="inlineStr">
        <is>
          <t>SP0038</t>
        </is>
      </c>
      <c r="D40" s="71" t="inlineStr">
        <is>
          <t>Future Oud 100 ml Perfume</t>
        </is>
      </c>
      <c r="E40" s="70" t="n"/>
      <c r="F40" s="72">
        <f>SUM(I40:O40)</f>
        <v/>
      </c>
      <c r="G40" s="72">
        <f>SUM(J40:P40)</f>
        <v/>
      </c>
      <c r="H40" s="73">
        <f>IFERROR(IF(G40&gt;0,F40/G40,"-"),"-")</f>
        <v/>
      </c>
      <c r="I40" s="74" t="n">
        <v>1</v>
      </c>
      <c r="J40" s="74">
        <f>IFERROR(IF(I40&gt;0,H40/I40,"-"),"-")</f>
        <v/>
      </c>
      <c r="K40" s="75" t="n"/>
      <c r="L40" s="74" t="n"/>
      <c r="M40" s="74">
        <f>IFERROR(IF(L40&gt;0,K40/L40,"-"),"-")</f>
        <v/>
      </c>
      <c r="N40" s="75" t="n"/>
      <c r="O40" s="74" t="n">
        <v>1</v>
      </c>
      <c r="P40" s="74">
        <f>IFERROR(IF(O40&gt;0,N40/O40,"-"),"-")</f>
        <v/>
      </c>
      <c r="Q40" s="75" t="n"/>
      <c r="R40" s="60" t="n"/>
      <c r="S40" s="60" t="n"/>
    </row>
    <row r="41" ht="15" customHeight="1">
      <c r="A41" s="76" t="inlineStr">
        <is>
          <t xml:space="preserve">  SPECIAL SETS</t>
        </is>
      </c>
      <c r="B41" s="77" t="n"/>
      <c r="C41" s="77" t="n"/>
      <c r="D41" s="77" t="n"/>
      <c r="E41" s="77" t="n"/>
      <c r="F41" s="72">
        <f>SUM(I41:O41)</f>
        <v/>
      </c>
      <c r="G41" s="72">
        <f>SUM(J41:P41)</f>
        <v/>
      </c>
      <c r="H41" s="73">
        <f>IFERROR(IF(G41&gt;0,F41/G41,"-"),"-")</f>
        <v/>
      </c>
      <c r="I41" s="74" t="n"/>
      <c r="J41" s="74">
        <f>IFERROR(IF(I41&gt;0,H41/I41,"-"),"-")</f>
        <v/>
      </c>
      <c r="K41" s="75" t="n"/>
      <c r="L41" s="74" t="n"/>
      <c r="M41" s="74">
        <f>IFERROR(IF(L41&gt;0,K41/L41,"-"),"-")</f>
        <v/>
      </c>
      <c r="N41" s="75" t="n"/>
      <c r="O41" s="74" t="n"/>
      <c r="P41" s="74">
        <f>IFERROR(IF(O41&gt;0,N41/O41,"-"),"-")</f>
        <v/>
      </c>
      <c r="Q41" s="75" t="n">
        <v>1</v>
      </c>
      <c r="R41" s="59" t="n"/>
      <c r="S41" s="59" t="n"/>
    </row>
    <row r="42" ht="15" customHeight="1">
      <c r="A42" s="70" t="n">
        <v>31</v>
      </c>
      <c r="B42" s="71" t="inlineStr">
        <is>
          <t>Special Sets</t>
        </is>
      </c>
      <c r="C42" s="70" t="inlineStr">
        <is>
          <t>SP0001</t>
        </is>
      </c>
      <c r="D42" s="71" t="inlineStr">
        <is>
          <t>White Oud</t>
        </is>
      </c>
      <c r="E42" s="70" t="n"/>
      <c r="F42" s="72">
        <f>SUM(I42:O42)</f>
        <v/>
      </c>
      <c r="G42" s="72">
        <f>SUM(J42:P42)</f>
        <v/>
      </c>
      <c r="H42" s="73">
        <f>IFERROR(IF(G42&gt;0,F42/G42,"-"),"-")</f>
        <v/>
      </c>
      <c r="I42" s="74" t="n"/>
      <c r="J42" s="74">
        <f>IFERROR(IF(I42&gt;0,H42/I42,"-"),"-")</f>
        <v/>
      </c>
      <c r="K42" s="75" t="n"/>
      <c r="L42" s="74" t="n"/>
      <c r="M42" s="74">
        <f>IFERROR(IF(L42&gt;0,K42/L42,"-"),"-")</f>
        <v/>
      </c>
      <c r="N42" s="75" t="n"/>
      <c r="O42" s="74" t="n"/>
      <c r="P42" s="74">
        <f>IFERROR(IF(O42&gt;0,N42/O42,"-"),"-")</f>
        <v/>
      </c>
      <c r="Q42" s="75" t="n">
        <v>1</v>
      </c>
      <c r="R42" s="60" t="n"/>
      <c r="S42" s="60" t="n"/>
    </row>
    <row r="43" ht="15" customHeight="1">
      <c r="A43" s="70" t="n">
        <v>32</v>
      </c>
      <c r="B43" s="71" t="inlineStr">
        <is>
          <t>Special Sets</t>
        </is>
      </c>
      <c r="C43" s="70" t="inlineStr">
        <is>
          <t>SP0005</t>
        </is>
      </c>
      <c r="D43" s="71" t="inlineStr">
        <is>
          <t>No.4</t>
        </is>
      </c>
      <c r="E43" s="70" t="n"/>
      <c r="F43" s="72">
        <f>SUM(I43:O43)</f>
        <v/>
      </c>
      <c r="G43" s="72">
        <f>SUM(J43:P43)</f>
        <v/>
      </c>
      <c r="H43" s="73">
        <f>IFERROR(IF(G43&gt;0,F43/G43,"-"),"-")</f>
        <v/>
      </c>
      <c r="I43" s="74" t="n">
        <v>5</v>
      </c>
      <c r="J43" s="74">
        <f>IFERROR(IF(I43&gt;0,H43/I43,"-"),"-")</f>
        <v/>
      </c>
      <c r="K43" s="75" t="n"/>
      <c r="L43" s="74" t="n">
        <v>2</v>
      </c>
      <c r="M43" s="74">
        <f>IFERROR(IF(L43&gt;0,K43/L43,"-"),"-")</f>
        <v/>
      </c>
      <c r="N43" s="75" t="n"/>
      <c r="O43" s="74" t="n">
        <v>4</v>
      </c>
      <c r="P43" s="74">
        <f>IFERROR(IF(O43&gt;0,N43/O43,"-"),"-")</f>
        <v/>
      </c>
      <c r="Q43" s="75" t="n"/>
      <c r="R43" s="60" t="n"/>
      <c r="S43" s="60" t="n"/>
    </row>
    <row r="44" ht="15" customHeight="1">
      <c r="A44" s="70" t="n">
        <v>33</v>
      </c>
      <c r="B44" s="71" t="inlineStr">
        <is>
          <t>Special Sets</t>
        </is>
      </c>
      <c r="C44" s="70" t="inlineStr">
        <is>
          <t>SP0007</t>
        </is>
      </c>
      <c r="D44" s="71" t="inlineStr">
        <is>
          <t>Reflection -T 100 ML</t>
        </is>
      </c>
      <c r="E44" s="70" t="n"/>
      <c r="F44" s="72">
        <f>SUM(I44:O44)</f>
        <v/>
      </c>
      <c r="G44" s="72">
        <f>SUM(J44:P44)</f>
        <v/>
      </c>
      <c r="H44" s="73">
        <f>IFERROR(IF(G44&gt;0,F44/G44,"-"),"-")</f>
        <v/>
      </c>
      <c r="I44" s="74" t="n"/>
      <c r="J44" s="74">
        <f>IFERROR(IF(I44&gt;0,H44/I44,"-"),"-")</f>
        <v/>
      </c>
      <c r="K44" s="75" t="n"/>
      <c r="L44" s="74" t="n">
        <v>3</v>
      </c>
      <c r="M44" s="74">
        <f>IFERROR(IF(L44&gt;0,K44/L44,"-"),"-")</f>
        <v/>
      </c>
      <c r="N44" s="75" t="n">
        <v>1</v>
      </c>
      <c r="O44" s="74" t="n">
        <v>7</v>
      </c>
      <c r="P44" s="74">
        <f>IFERROR(IF(O44&gt;0,N44/O44,"-"),"-")</f>
        <v/>
      </c>
      <c r="Q44" s="75" t="n"/>
      <c r="R44" s="60" t="n"/>
      <c r="S44" s="60" t="n"/>
    </row>
    <row r="45" ht="15" customHeight="1">
      <c r="A45" s="70" t="n">
        <v>34</v>
      </c>
      <c r="B45" s="71" t="inlineStr">
        <is>
          <t>Special Sets</t>
        </is>
      </c>
      <c r="C45" s="70" t="inlineStr">
        <is>
          <t>SP0017</t>
        </is>
      </c>
      <c r="D45" s="71" t="inlineStr">
        <is>
          <t>White Oud Oil 8ml</t>
        </is>
      </c>
      <c r="E45" s="70" t="n"/>
      <c r="F45" s="72">
        <f>SUM(I45:O45)</f>
        <v/>
      </c>
      <c r="G45" s="72">
        <f>SUM(J45:P45)</f>
        <v/>
      </c>
      <c r="H45" s="73">
        <f>IFERROR(IF(G45&gt;0,F45/G45,"-"),"-")</f>
        <v/>
      </c>
      <c r="I45" s="74" t="n"/>
      <c r="J45" s="74">
        <f>IFERROR(IF(I45&gt;0,H45/I45,"-"),"-")</f>
        <v/>
      </c>
      <c r="K45" s="75" t="n"/>
      <c r="L45" s="74" t="n">
        <v>1</v>
      </c>
      <c r="M45" s="74">
        <f>IFERROR(IF(L45&gt;0,K45/L45,"-"),"-")</f>
        <v/>
      </c>
      <c r="N45" s="75" t="n"/>
      <c r="O45" s="74" t="n">
        <v>1</v>
      </c>
      <c r="P45" s="74">
        <f>IFERROR(IF(O45&gt;0,N45/O45,"-"),"-")</f>
        <v/>
      </c>
      <c r="Q45" s="75" t="n"/>
      <c r="R45" s="60" t="n"/>
      <c r="S45" s="60" t="n"/>
    </row>
    <row r="46" ht="15" customHeight="1">
      <c r="A46" s="76" t="inlineStr">
        <is>
          <t xml:space="preserve">  OILS &amp; CPO</t>
        </is>
      </c>
      <c r="B46" s="77" t="n"/>
      <c r="C46" s="77" t="n"/>
      <c r="D46" s="77" t="n"/>
      <c r="E46" s="77" t="n"/>
      <c r="F46" s="72">
        <f>SUM(I46:O46)</f>
        <v/>
      </c>
      <c r="G46" s="72">
        <f>SUM(J46:P46)</f>
        <v/>
      </c>
      <c r="H46" s="73">
        <f>IFERROR(IF(G46&gt;0,F46/G46,"-"),"-")</f>
        <v/>
      </c>
      <c r="I46" s="74" t="n"/>
      <c r="J46" s="74">
        <f>IFERROR(IF(I46&gt;0,H46/I46,"-"),"-")</f>
        <v/>
      </c>
      <c r="K46" s="75" t="n">
        <v>1</v>
      </c>
      <c r="L46" s="74" t="n">
        <v>3</v>
      </c>
      <c r="M46" s="74">
        <f>IFERROR(IF(L46&gt;0,K46/L46,"-"),"-")</f>
        <v/>
      </c>
      <c r="N46" s="75" t="n"/>
      <c r="O46" s="74" t="n">
        <v>5</v>
      </c>
      <c r="P46" s="74">
        <f>IFERROR(IF(O46&gt;0,N46/O46,"-"),"-")</f>
        <v/>
      </c>
      <c r="Q46" s="75" t="n"/>
      <c r="R46" s="59" t="n"/>
      <c r="S46" s="59" t="n"/>
    </row>
    <row r="47" ht="15" customHeight="1">
      <c r="A47" s="70" t="n">
        <v>35</v>
      </c>
      <c r="B47" s="71" t="inlineStr">
        <is>
          <t>Oils &amp; CPO</t>
        </is>
      </c>
      <c r="C47" s="70" t="inlineStr">
        <is>
          <t>I00001</t>
        </is>
      </c>
      <c r="D47" s="71" t="inlineStr">
        <is>
          <t>Hindi Special</t>
        </is>
      </c>
      <c r="E47" s="70" t="n">
        <v>3</v>
      </c>
      <c r="F47" s="72">
        <f>SUM(I47:O47)</f>
        <v/>
      </c>
      <c r="G47" s="72">
        <f>SUM(J47:P47)</f>
        <v/>
      </c>
      <c r="H47" s="73">
        <f>IFERROR(IF(G47&gt;0,F47/G47,"-"),"-")</f>
        <v/>
      </c>
      <c r="I47" s="74" t="n">
        <v>8</v>
      </c>
      <c r="J47" s="74">
        <f>IFERROR(IF(I47&gt;0,H47/I47,"-"),"-")</f>
        <v/>
      </c>
      <c r="K47" s="75" t="n">
        <v>4</v>
      </c>
      <c r="L47" s="74" t="n"/>
      <c r="M47" s="74">
        <f>IFERROR(IF(L47&gt;0,K47/L47,"-"),"-")</f>
        <v/>
      </c>
      <c r="N47" s="75" t="n">
        <v>2</v>
      </c>
      <c r="O47" s="74" t="n">
        <v>15</v>
      </c>
      <c r="P47" s="74">
        <f>IFERROR(IF(O47&gt;0,N47/O47,"-"),"-")</f>
        <v/>
      </c>
      <c r="Q47" s="75" t="n">
        <v>2</v>
      </c>
      <c r="R47" s="60" t="n"/>
      <c r="S47" s="60" t="n"/>
    </row>
    <row r="48" ht="15" customHeight="1">
      <c r="A48" s="70" t="n">
        <v>36</v>
      </c>
      <c r="B48" s="71" t="inlineStr">
        <is>
          <t>Oils &amp; CPO</t>
        </is>
      </c>
      <c r="C48" s="70" t="inlineStr">
        <is>
          <t>I00002</t>
        </is>
      </c>
      <c r="D48" s="71" t="inlineStr">
        <is>
          <t>Seufi Special</t>
        </is>
      </c>
      <c r="E48" s="70" t="n"/>
      <c r="F48" s="72">
        <f>SUM(I48:O48)</f>
        <v/>
      </c>
      <c r="G48" s="72">
        <f>SUM(J48:P48)</f>
        <v/>
      </c>
      <c r="H48" s="73">
        <f>IFERROR(IF(G48&gt;0,F48/G48,"-"),"-")</f>
        <v/>
      </c>
      <c r="I48" s="74" t="n">
        <v>1</v>
      </c>
      <c r="J48" s="74">
        <f>IFERROR(IF(I48&gt;0,H48/I48,"-"),"-")</f>
        <v/>
      </c>
      <c r="K48" s="75" t="n"/>
      <c r="L48" s="74" t="n">
        <v>3</v>
      </c>
      <c r="M48" s="74">
        <f>IFERROR(IF(L48&gt;0,K48/L48,"-"),"-")</f>
        <v/>
      </c>
      <c r="N48" s="75" t="n"/>
      <c r="O48" s="74" t="n"/>
      <c r="P48" s="74">
        <f>IFERROR(IF(O48&gt;0,N48/O48,"-"),"-")</f>
        <v/>
      </c>
      <c r="Q48" s="75" t="n"/>
      <c r="R48" s="60" t="n"/>
      <c r="S48" s="60" t="n"/>
    </row>
    <row r="49" ht="15" customHeight="1">
      <c r="A49" s="70" t="n">
        <v>37</v>
      </c>
      <c r="B49" s="71" t="inlineStr">
        <is>
          <t>Oils &amp; CPO</t>
        </is>
      </c>
      <c r="C49" s="70" t="inlineStr">
        <is>
          <t>I00006</t>
        </is>
      </c>
      <c r="D49" s="71" t="inlineStr">
        <is>
          <t>Musk oil 8 ML</t>
        </is>
      </c>
      <c r="E49" s="70" t="n"/>
      <c r="F49" s="72">
        <f>SUM(I49:O49)</f>
        <v/>
      </c>
      <c r="G49" s="72">
        <f>SUM(J49:P49)</f>
        <v/>
      </c>
      <c r="H49" s="73">
        <f>IFERROR(IF(G49&gt;0,F49/G49,"-"),"-")</f>
        <v/>
      </c>
      <c r="I49" s="74" t="n"/>
      <c r="J49" s="74">
        <f>IFERROR(IF(I49&gt;0,H49/I49,"-"),"-")</f>
        <v/>
      </c>
      <c r="K49" s="75" t="n"/>
      <c r="L49" s="74" t="n"/>
      <c r="M49" s="74">
        <f>IFERROR(IF(L49&gt;0,K49/L49,"-"),"-")</f>
        <v/>
      </c>
      <c r="N49" s="75" t="n"/>
      <c r="O49" s="74" t="n"/>
      <c r="P49" s="74">
        <f>IFERROR(IF(O49&gt;0,N49/O49,"-"),"-")</f>
        <v/>
      </c>
      <c r="Q49" s="75" t="n"/>
      <c r="R49" s="60" t="n"/>
      <c r="S49" s="60" t="n"/>
    </row>
    <row r="50" ht="15" customHeight="1">
      <c r="A50" s="70" t="n">
        <v>38</v>
      </c>
      <c r="B50" s="71" t="inlineStr">
        <is>
          <t>Oils &amp; CPO</t>
        </is>
      </c>
      <c r="C50" s="70" t="inlineStr">
        <is>
          <t>I00011</t>
        </is>
      </c>
      <c r="D50" s="71" t="inlineStr">
        <is>
          <t>Midnight Oil 8ml</t>
        </is>
      </c>
      <c r="E50" s="70" t="n"/>
      <c r="F50" s="72">
        <f>SUM(I50:O50)</f>
        <v/>
      </c>
      <c r="G50" s="72">
        <f>SUM(J50:P50)</f>
        <v/>
      </c>
      <c r="H50" s="73">
        <f>IFERROR(IF(G50&gt;0,F50/G50,"-"),"-")</f>
        <v/>
      </c>
      <c r="I50" s="74" t="n"/>
      <c r="J50" s="74">
        <f>IFERROR(IF(I50&gt;0,H50/I50,"-"),"-")</f>
        <v/>
      </c>
      <c r="K50" s="75" t="n"/>
      <c r="L50" s="74" t="n"/>
      <c r="M50" s="74">
        <f>IFERROR(IF(L50&gt;0,K50/L50,"-"),"-")</f>
        <v/>
      </c>
      <c r="N50" s="75" t="n"/>
      <c r="O50" s="74" t="n"/>
      <c r="P50" s="74">
        <f>IFERROR(IF(O50&gt;0,N50/O50,"-"),"-")</f>
        <v/>
      </c>
      <c r="Q50" s="75" t="n"/>
      <c r="R50" s="60" t="n"/>
      <c r="S50" s="60" t="n"/>
    </row>
    <row r="51" ht="15" customHeight="1">
      <c r="A51" s="76" t="inlineStr">
        <is>
          <t xml:space="preserve">  ACCESSORIES</t>
        </is>
      </c>
      <c r="B51" s="77" t="n"/>
      <c r="C51" s="77" t="n"/>
      <c r="D51" s="77" t="n"/>
      <c r="E51" s="77" t="n"/>
      <c r="F51" s="72">
        <f>SUM(I51:O51)</f>
        <v/>
      </c>
      <c r="G51" s="72">
        <f>SUM(J51:P51)</f>
        <v/>
      </c>
      <c r="H51" s="73">
        <f>IFERROR(IF(G51&gt;0,F51/G51,"-"),"-")</f>
        <v/>
      </c>
      <c r="I51" s="74" t="n"/>
      <c r="J51" s="74">
        <f>IFERROR(IF(I51&gt;0,H51/I51,"-"),"-")</f>
        <v/>
      </c>
      <c r="K51" s="75" t="n"/>
      <c r="L51" s="74" t="n"/>
      <c r="M51" s="74">
        <f>IFERROR(IF(L51&gt;0,K51/L51,"-"),"-")</f>
        <v/>
      </c>
      <c r="N51" s="75" t="n"/>
      <c r="O51" s="74" t="n"/>
      <c r="P51" s="74">
        <f>IFERROR(IF(O51&gt;0,N51/O51,"-"),"-")</f>
        <v/>
      </c>
      <c r="Q51" s="75" t="n"/>
      <c r="R51" s="59" t="n"/>
      <c r="S51" s="59" t="n"/>
    </row>
    <row r="52" ht="15" customHeight="1">
      <c r="A52" s="70" t="n">
        <v>39</v>
      </c>
      <c r="B52" s="71" t="inlineStr">
        <is>
          <t>Accessories</t>
        </is>
      </c>
      <c r="C52" s="70" t="inlineStr">
        <is>
          <t>AC0001</t>
        </is>
      </c>
      <c r="D52" s="71" t="inlineStr">
        <is>
          <t>Medkhan Small</t>
        </is>
      </c>
      <c r="E52" s="70" t="n"/>
      <c r="F52" s="72">
        <f>SUM(I52:O52)</f>
        <v/>
      </c>
      <c r="G52" s="72">
        <f>SUM(J52:P52)</f>
        <v/>
      </c>
      <c r="H52" s="73">
        <f>IFERROR(IF(G52&gt;0,F52/G52,"-"),"-")</f>
        <v/>
      </c>
      <c r="I52" s="74" t="n"/>
      <c r="J52" s="74">
        <f>IFERROR(IF(I52&gt;0,H52/I52,"-"),"-")</f>
        <v/>
      </c>
      <c r="K52" s="75" t="n"/>
      <c r="L52" s="74" t="n"/>
      <c r="M52" s="74">
        <f>IFERROR(IF(L52&gt;0,K52/L52,"-"),"-")</f>
        <v/>
      </c>
      <c r="N52" s="75" t="n"/>
      <c r="O52" s="74" t="n"/>
      <c r="P52" s="74">
        <f>IFERROR(IF(O52&gt;0,N52/O52,"-"),"-")</f>
        <v/>
      </c>
      <c r="Q52" s="75" t="n"/>
      <c r="R52" s="60" t="n"/>
      <c r="S52" s="60" t="n"/>
    </row>
    <row r="53" ht="15" customHeight="1">
      <c r="A53" s="70" t="n">
        <v>40</v>
      </c>
      <c r="B53" s="71" t="inlineStr">
        <is>
          <t>Accessories</t>
        </is>
      </c>
      <c r="C53" s="70" t="inlineStr">
        <is>
          <t>AC0003</t>
        </is>
      </c>
      <c r="D53" s="71" t="inlineStr">
        <is>
          <t>Lighter</t>
        </is>
      </c>
      <c r="E53" s="70" t="n"/>
      <c r="F53" s="72">
        <f>SUM(I53:O53)</f>
        <v/>
      </c>
      <c r="G53" s="72">
        <f>SUM(J53:P53)</f>
        <v/>
      </c>
      <c r="H53" s="73">
        <f>IFERROR(IF(G53&gt;0,F53/G53,"-"),"-")</f>
        <v/>
      </c>
      <c r="I53" s="74" t="n"/>
      <c r="J53" s="74">
        <f>IFERROR(IF(I53&gt;0,H53/I53,"-"),"-")</f>
        <v/>
      </c>
      <c r="K53" s="75" t="n">
        <v>1</v>
      </c>
      <c r="L53" s="74" t="n">
        <v>3</v>
      </c>
      <c r="M53" s="74">
        <f>IFERROR(IF(L53&gt;0,K53/L53,"-"),"-")</f>
        <v/>
      </c>
      <c r="N53" s="75" t="n">
        <v>3</v>
      </c>
      <c r="O53" s="74" t="n">
        <v>2</v>
      </c>
      <c r="P53" s="74">
        <f>IFERROR(IF(O53&gt;0,N53/O53,"-"),"-")</f>
        <v/>
      </c>
      <c r="Q53" s="75" t="n"/>
      <c r="R53" s="60" t="n"/>
      <c r="S53" s="60" t="n"/>
    </row>
    <row r="54">
      <c r="A54" s="77" t="n"/>
      <c r="B54" s="77" t="n"/>
      <c r="C54" s="77" t="n"/>
      <c r="D54" s="77" t="n"/>
      <c r="E54" s="77" t="n"/>
      <c r="F54" s="72">
        <f>SUM(I54:O54)</f>
        <v/>
      </c>
      <c r="G54" s="72">
        <f>SUM(J54:P54)</f>
        <v/>
      </c>
      <c r="H54" s="73">
        <f>IFERROR(IF(G54&gt;0,F54/G54,"-"),"-")</f>
        <v/>
      </c>
      <c r="I54" s="74" t="n">
        <v>1</v>
      </c>
      <c r="J54" s="74">
        <f>IFERROR(IF(I54&gt;0,H54/I54,"-"),"-")</f>
        <v/>
      </c>
      <c r="K54" s="75" t="n">
        <v>1</v>
      </c>
      <c r="L54" s="74" t="n">
        <v>3</v>
      </c>
      <c r="M54" s="74">
        <f>IFERROR(IF(L54&gt;0,K54/L54,"-"),"-")</f>
        <v/>
      </c>
      <c r="N54" s="75" t="n"/>
      <c r="O54" s="74" t="n">
        <v>5</v>
      </c>
      <c r="P54" s="74">
        <f>IFERROR(IF(O54&gt;0,N54/O54,"-"),"-")</f>
        <v/>
      </c>
      <c r="Q54" s="75" t="n"/>
      <c r="R54" s="59" t="n"/>
      <c r="S54" s="59" t="n"/>
    </row>
    <row r="55">
      <c r="A55" s="77" t="n"/>
      <c r="B55" s="77" t="n"/>
      <c r="C55" s="77" t="n"/>
      <c r="D55" s="77" t="n"/>
      <c r="E55" s="77" t="n">
        <v>1</v>
      </c>
      <c r="F55" s="72">
        <f>SUM(I55:O55)</f>
        <v/>
      </c>
      <c r="G55" s="72">
        <f>SUM(J55:P55)</f>
        <v/>
      </c>
      <c r="H55" s="73">
        <f>IFERROR(IF(G55&gt;0,F55/G55,"-"),"-")</f>
        <v/>
      </c>
      <c r="I55" s="74" t="n">
        <v>3</v>
      </c>
      <c r="J55" s="74">
        <f>IFERROR(IF(I55&gt;0,H55/I55,"-"),"-")</f>
        <v/>
      </c>
      <c r="K55" s="75" t="n">
        <v>1</v>
      </c>
      <c r="L55" s="74" t="n">
        <v>10</v>
      </c>
      <c r="M55" s="74">
        <f>IFERROR(IF(L55&gt;0,K55/L55,"-"),"-")</f>
        <v/>
      </c>
      <c r="N55" s="75" t="n">
        <v>2</v>
      </c>
      <c r="O55" s="74" t="n">
        <v>8</v>
      </c>
      <c r="P55" s="74">
        <f>IFERROR(IF(O55&gt;0,N55/O55,"-"),"-")</f>
        <v/>
      </c>
      <c r="Q55" s="75" t="n"/>
      <c r="R55" s="59" t="n"/>
      <c r="S55" s="59" t="n"/>
    </row>
    <row r="56">
      <c r="A56" s="77" t="n"/>
      <c r="B56" s="77" t="n"/>
      <c r="C56" s="77" t="n"/>
      <c r="D56" s="77" t="n"/>
      <c r="E56" s="77" t="n"/>
      <c r="F56" s="72">
        <f>SUM(I56:O56)</f>
        <v/>
      </c>
      <c r="G56" s="72">
        <f>SUM(J56:P56)</f>
        <v/>
      </c>
      <c r="H56" s="73">
        <f>IFERROR(IF(G56&gt;0,F56/G56,"-"),"-")</f>
        <v/>
      </c>
      <c r="I56" s="74" t="n"/>
      <c r="J56" s="74">
        <f>IFERROR(IF(I56&gt;0,H56/I56,"-"),"-")</f>
        <v/>
      </c>
      <c r="K56" s="75" t="n"/>
      <c r="L56" s="74" t="n"/>
      <c r="M56" s="74">
        <f>IFERROR(IF(L56&gt;0,K56/L56,"-"),"-")</f>
        <v/>
      </c>
      <c r="N56" s="75" t="n"/>
      <c r="O56" s="74" t="n"/>
      <c r="P56" s="74">
        <f>IFERROR(IF(O56&gt;0,N56/O56,"-"),"-")</f>
        <v/>
      </c>
      <c r="Q56" s="75" t="n"/>
      <c r="R56" s="59" t="n"/>
      <c r="S56" s="59" t="n"/>
    </row>
    <row r="57">
      <c r="A57" s="77" t="n"/>
      <c r="B57" s="77" t="n"/>
      <c r="C57" s="77" t="n"/>
      <c r="D57" s="77" t="n"/>
      <c r="E57" s="77" t="n"/>
      <c r="F57" s="72">
        <f>SUM(I57:O57)</f>
        <v/>
      </c>
      <c r="G57" s="72">
        <f>SUM(J57:P57)</f>
        <v/>
      </c>
      <c r="H57" s="73">
        <f>IFERROR(IF(G57&gt;0,F57/G57,"-"),"-")</f>
        <v/>
      </c>
      <c r="I57" s="74" t="n">
        <v>310</v>
      </c>
      <c r="J57" s="74">
        <f>IFERROR(IF(I57&gt;0,H57/I57,"-"),"-")</f>
        <v/>
      </c>
      <c r="K57" s="75" t="n"/>
      <c r="L57" s="74" t="n">
        <v>360</v>
      </c>
      <c r="M57" s="74">
        <f>IFERROR(IF(L57&gt;0,K57/L57,"-"),"-")</f>
        <v/>
      </c>
      <c r="N57" s="75" t="n"/>
      <c r="O57" s="74" t="n">
        <v>600</v>
      </c>
      <c r="P57" s="74">
        <f>IFERROR(IF(O57&gt;0,N57/O57,"-"),"-")</f>
        <v/>
      </c>
      <c r="Q57" s="75" t="n"/>
      <c r="R57" s="59" t="n"/>
      <c r="S57" s="59" t="n"/>
    </row>
    <row r="58">
      <c r="A58" s="77" t="n"/>
      <c r="B58" s="77" t="n"/>
      <c r="C58" s="77" t="n"/>
      <c r="D58" s="77" t="n"/>
      <c r="E58" s="77" t="n"/>
      <c r="F58" s="72">
        <f>SUM(I58:O58)</f>
        <v/>
      </c>
      <c r="G58" s="72">
        <f>SUM(J58:P58)</f>
        <v/>
      </c>
      <c r="H58" s="73">
        <f>IFERROR(IF(G58&gt;0,F58/G58,"-"),"-")</f>
        <v/>
      </c>
      <c r="I58" s="74" t="n"/>
      <c r="J58" s="74">
        <f>IFERROR(IF(I58&gt;0,H58/I58,"-"),"-")</f>
        <v/>
      </c>
      <c r="K58" s="75" t="n"/>
      <c r="L58" s="74" t="n"/>
      <c r="M58" s="74">
        <f>IFERROR(IF(L58&gt;0,K58/L58,"-"),"-")</f>
        <v/>
      </c>
      <c r="N58" s="75" t="n"/>
      <c r="O58" s="74" t="n"/>
      <c r="P58" s="74">
        <f>IFERROR(IF(O58&gt;0,N58/O58,"-"),"-")</f>
        <v/>
      </c>
      <c r="Q58" s="75" t="n"/>
      <c r="R58" s="59" t="n"/>
      <c r="S58" s="59" t="n"/>
    </row>
    <row r="59">
      <c r="A59" s="77" t="n"/>
      <c r="B59" s="77" t="n"/>
      <c r="C59" s="77" t="n"/>
      <c r="D59" s="77" t="n"/>
      <c r="E59" s="77" t="n"/>
      <c r="F59" s="72">
        <f>SUM(I59:O59)</f>
        <v/>
      </c>
      <c r="G59" s="72">
        <f>SUM(J59:P59)</f>
        <v/>
      </c>
      <c r="H59" s="73">
        <f>IFERROR(IF(G59&gt;0,F59/G59,"-"),"-")</f>
        <v/>
      </c>
      <c r="I59" s="74" t="n">
        <v>1</v>
      </c>
      <c r="J59" s="74">
        <f>IFERROR(IF(I59&gt;0,H59/I59,"-"),"-")</f>
        <v/>
      </c>
      <c r="K59" s="75" t="n"/>
      <c r="L59" s="74" t="n">
        <v>3</v>
      </c>
      <c r="M59" s="74">
        <f>IFERROR(IF(L59&gt;0,K59/L59,"-"),"-")</f>
        <v/>
      </c>
      <c r="N59" s="75" t="n"/>
      <c r="O59" s="74" t="n">
        <v>8</v>
      </c>
      <c r="P59" s="74">
        <f>IFERROR(IF(O59&gt;0,N59/O59,"-"),"-")</f>
        <v/>
      </c>
      <c r="Q59" s="75" t="n"/>
      <c r="R59" s="59" t="n"/>
      <c r="S59" s="59" t="n"/>
    </row>
    <row r="60">
      <c r="A60" s="77" t="n"/>
      <c r="B60" s="77" t="n"/>
      <c r="C60" s="77" t="n"/>
      <c r="D60" s="77" t="n"/>
      <c r="E60" s="77" t="n">
        <v>1</v>
      </c>
      <c r="F60" s="72">
        <f>SUM(I60:O60)</f>
        <v/>
      </c>
      <c r="G60" s="72">
        <f>SUM(J60:P60)</f>
        <v/>
      </c>
      <c r="H60" s="73">
        <f>IFERROR(IF(G60&gt;0,F60/G60,"-"),"-")</f>
        <v/>
      </c>
      <c r="I60" s="74" t="n">
        <v>12</v>
      </c>
      <c r="J60" s="74">
        <f>IFERROR(IF(I60&gt;0,H60/I60,"-"),"-")</f>
        <v/>
      </c>
      <c r="K60" s="75" t="n">
        <v>1</v>
      </c>
      <c r="L60" s="74" t="n">
        <v>17</v>
      </c>
      <c r="M60" s="74">
        <f>IFERROR(IF(L60&gt;0,K60/L60,"-"),"-")</f>
        <v/>
      </c>
      <c r="N60" s="75" t="n">
        <v>10</v>
      </c>
      <c r="O60" s="74" t="n">
        <v>53</v>
      </c>
      <c r="P60" s="74">
        <f>IFERROR(IF(O60&gt;0,N60/O60,"-"),"-")</f>
        <v/>
      </c>
      <c r="Q60" s="75" t="n">
        <v>1</v>
      </c>
      <c r="R60" s="59" t="n"/>
      <c r="S60" s="59" t="n"/>
    </row>
    <row r="61">
      <c r="A61" s="77" t="n"/>
      <c r="B61" s="77" t="n"/>
      <c r="C61" s="77" t="n"/>
      <c r="D61" s="77" t="n"/>
      <c r="E61" s="77" t="n"/>
      <c r="F61" s="72">
        <f>SUM(I61:O61)</f>
        <v/>
      </c>
      <c r="G61" s="72">
        <f>SUM(J61:P61)</f>
        <v/>
      </c>
      <c r="H61" s="73">
        <f>IFERROR(IF(G61&gt;0,F61/G61,"-"),"-")</f>
        <v/>
      </c>
      <c r="I61" s="74" t="n"/>
      <c r="J61" s="74">
        <f>IFERROR(IF(I61&gt;0,H61/I61,"-"),"-")</f>
        <v/>
      </c>
      <c r="K61" s="75" t="n"/>
      <c r="L61" s="74" t="n"/>
      <c r="M61" s="74">
        <f>IFERROR(IF(L61&gt;0,K61/L61,"-"),"-")</f>
        <v/>
      </c>
      <c r="N61" s="75" t="n"/>
      <c r="O61" s="74" t="n"/>
      <c r="P61" s="74">
        <f>IFERROR(IF(O61&gt;0,N61/O61,"-"),"-")</f>
        <v/>
      </c>
      <c r="Q61" s="75" t="n"/>
      <c r="R61" s="59" t="n"/>
      <c r="S61" s="59" t="n"/>
    </row>
    <row r="62">
      <c r="A62" s="77" t="n"/>
      <c r="B62" s="77" t="n"/>
      <c r="C62" s="77" t="n"/>
      <c r="D62" s="77" t="n"/>
      <c r="E62" s="77" t="n"/>
      <c r="F62" s="72">
        <f>SUM(I62:O62)</f>
        <v/>
      </c>
      <c r="G62" s="72">
        <f>SUM(J62:P62)</f>
        <v/>
      </c>
      <c r="H62" s="73">
        <f>IFERROR(IF(G62&gt;0,F62/G62,"-"),"-")</f>
        <v/>
      </c>
      <c r="I62" s="74" t="n"/>
      <c r="J62" s="74">
        <f>IFERROR(IF(I62&gt;0,H62/I62,"-"),"-")</f>
        <v/>
      </c>
      <c r="K62" s="75" t="n"/>
      <c r="L62" s="74" t="n"/>
      <c r="M62" s="74">
        <f>IFERROR(IF(L62&gt;0,K62/L62,"-"),"-")</f>
        <v/>
      </c>
      <c r="N62" s="75" t="n"/>
      <c r="O62" s="74" t="n">
        <v>1</v>
      </c>
      <c r="P62" s="74">
        <f>IFERROR(IF(O62&gt;0,N62/O62,"-"),"-")</f>
        <v/>
      </c>
      <c r="Q62" s="75" t="n"/>
      <c r="R62" s="59" t="n"/>
      <c r="S62" s="59" t="n"/>
    </row>
    <row r="63">
      <c r="A63" s="77" t="n"/>
      <c r="B63" s="77" t="n"/>
      <c r="C63" s="77" t="n"/>
      <c r="D63" s="77" t="n"/>
      <c r="E63" s="77" t="n"/>
      <c r="F63" s="72">
        <f>SUM(I63:O63)</f>
        <v/>
      </c>
      <c r="G63" s="72">
        <f>SUM(J63:P63)</f>
        <v/>
      </c>
      <c r="H63" s="73">
        <f>IFERROR(IF(G63&gt;0,F63/G63,"-"),"-")</f>
        <v/>
      </c>
      <c r="I63" s="74" t="n"/>
      <c r="J63" s="74">
        <f>IFERROR(IF(I63&gt;0,H63/I63,"-"),"-")</f>
        <v/>
      </c>
      <c r="K63" s="75" t="n"/>
      <c r="L63" s="74" t="n">
        <v>1</v>
      </c>
      <c r="M63" s="74">
        <f>IFERROR(IF(L63&gt;0,K63/L63,"-"),"-")</f>
        <v/>
      </c>
      <c r="N63" s="75" t="n">
        <v>3</v>
      </c>
      <c r="O63" s="74" t="n">
        <v>1</v>
      </c>
      <c r="P63" s="74">
        <f>IFERROR(IF(O63&gt;0,N63/O63,"-"),"-")</f>
        <v/>
      </c>
      <c r="Q63" s="75" t="n"/>
      <c r="R63" s="59" t="n"/>
      <c r="S63" s="59" t="n"/>
    </row>
    <row r="64">
      <c r="A64" s="77" t="n"/>
      <c r="B64" s="77" t="n"/>
      <c r="C64" s="77" t="n"/>
      <c r="D64" s="77" t="n"/>
      <c r="E64" s="77" t="n"/>
      <c r="F64" s="72">
        <f>SUM(I64:O64)</f>
        <v/>
      </c>
      <c r="G64" s="72">
        <f>SUM(J64:P64)</f>
        <v/>
      </c>
      <c r="H64" s="73">
        <f>IFERROR(IF(G64&gt;0,F64/G64,"-"),"-")</f>
        <v/>
      </c>
      <c r="I64" s="74" t="n"/>
      <c r="J64" s="74">
        <f>IFERROR(IF(I64&gt;0,H64/I64,"-"),"-")</f>
        <v/>
      </c>
      <c r="K64" s="75" t="n"/>
      <c r="L64" s="74" t="n"/>
      <c r="M64" s="74">
        <f>IFERROR(IF(L64&gt;0,K64/L64,"-"),"-")</f>
        <v/>
      </c>
      <c r="N64" s="75" t="n"/>
      <c r="O64" s="74" t="n"/>
      <c r="P64" s="74">
        <f>IFERROR(IF(O64&gt;0,N64/O64,"-"),"-")</f>
        <v/>
      </c>
      <c r="Q64" s="75" t="n"/>
      <c r="R64" s="59" t="n"/>
      <c r="S64" s="59" t="n"/>
    </row>
  </sheetData>
  <mergeCells count="5">
    <mergeCell ref="A1:AZ1"/>
    <mergeCell ref="O3"/>
    <mergeCell ref="I3"/>
    <mergeCell ref="L3"/>
    <mergeCell ref="A2:AZ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6B5B35"/>
    <outlinePr summaryBelow="1" summaryRight="1"/>
    <pageSetUpPr/>
  </sheetPr>
  <dimension ref="A1:AZ69"/>
  <sheetViews>
    <sheetView showGridLines="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2" customWidth="1" min="4" max="4"/>
    <col width="25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7.5" customWidth="1" min="45" max="45"/>
    <col width="9" customWidth="1" min="46" max="46"/>
  </cols>
  <sheetData>
    <row r="1" ht="25" customHeight="1">
      <c r="A1" s="55" t="inlineStr">
        <is>
          <t>EMIRATES PRIDE PERFUMES | TESTER CONSUMPTION | MAY 2026 | HESSIN</t>
        </is>
      </c>
    </row>
    <row r="2" ht="14" customHeight="1">
      <c r="A2" s="56" t="inlineStr">
        <is>
          <t>T=Testers Dispatched (blue) | S=Sales Generated (green) | Contrib%=Contribution %</t>
        </is>
      </c>
    </row>
    <row r="3" ht="30" customHeight="1">
      <c r="A3" s="57" t="inlineStr">
        <is>
          <t>#</t>
        </is>
      </c>
      <c r="B3" s="57" t="inlineStr">
        <is>
          <t>Category</t>
        </is>
      </c>
      <c r="C3" s="57" t="inlineStr">
        <is>
          <t>Sub-Category</t>
        </is>
      </c>
      <c r="D3" s="57" t="inlineStr">
        <is>
          <t>SKU Code</t>
        </is>
      </c>
      <c r="E3" s="57" t="inlineStr">
        <is>
          <t>Product Name</t>
        </is>
      </c>
      <c r="F3" s="57" t="inlineStr">
        <is>
          <t>Grand Total
Testers</t>
        </is>
      </c>
      <c r="G3" s="57" t="inlineStr">
        <is>
          <t>Grand Total
Sales</t>
        </is>
      </c>
      <c r="H3" s="57" t="inlineStr">
        <is>
          <t>Grand Total
Contrib%</t>
        </is>
      </c>
      <c r="I3" s="58" t="inlineStr">
        <is>
          <t>Dalma Shop</t>
        </is>
      </c>
      <c r="J3" s="59" t="n"/>
      <c r="K3" s="60" t="n"/>
      <c r="L3" s="58" t="inlineStr">
        <is>
          <t>Dalma Kiosk</t>
        </is>
      </c>
      <c r="M3" s="59" t="n"/>
      <c r="N3" s="60" t="n"/>
      <c r="O3" s="58" t="inlineStr">
        <is>
          <t>Deerfield</t>
        </is>
      </c>
      <c r="P3" s="59" t="n"/>
      <c r="Q3" s="60" t="n"/>
      <c r="R3" s="58" t="inlineStr">
        <is>
          <t>Yas Kiosk 2</t>
        </is>
      </c>
      <c r="S3" s="59" t="n"/>
      <c r="T3" s="60" t="n"/>
      <c r="U3" s="58" t="inlineStr">
        <is>
          <t>Yas Kiosk 3</t>
        </is>
      </c>
      <c r="V3" s="59" t="n"/>
      <c r="W3" s="60" t="n"/>
      <c r="X3" s="58" t="inlineStr">
        <is>
          <t>Yas Podium</t>
        </is>
      </c>
      <c r="Y3" s="59" t="n"/>
      <c r="Z3" s="60" t="n"/>
      <c r="AA3" s="58" t="inlineStr">
        <is>
          <t>BAS Shop 2</t>
        </is>
      </c>
      <c r="AB3" s="59" t="n"/>
      <c r="AC3" s="60" t="n"/>
      <c r="AD3" s="58" t="inlineStr">
        <is>
          <t>Al Ain Mall</t>
        </is>
      </c>
      <c r="AE3" s="59" t="n"/>
      <c r="AF3" s="60" t="n"/>
      <c r="AG3" s="58" t="inlineStr">
        <is>
          <t>Bawadi K1</t>
        </is>
      </c>
      <c r="AH3" s="59" t="n"/>
      <c r="AI3" s="60" t="n"/>
      <c r="AJ3" s="58" t="inlineStr">
        <is>
          <t>Bawadi K2</t>
        </is>
      </c>
      <c r="AK3" s="59" t="n"/>
      <c r="AL3" s="60" t="n"/>
      <c r="AM3" s="58" t="inlineStr">
        <is>
          <t>Jimi Mall</t>
        </is>
      </c>
      <c r="AN3" s="59" t="n"/>
      <c r="AO3" s="60" t="n"/>
      <c r="AP3" s="58" t="inlineStr">
        <is>
          <t>Makani Shop</t>
        </is>
      </c>
      <c r="AQ3" s="59" t="n"/>
      <c r="AR3" s="60" t="n"/>
      <c r="AS3" s="59" t="n"/>
      <c r="AT3" s="59" t="n"/>
    </row>
    <row r="4" ht="44" customHeight="1">
      <c r="A4" s="61" t="n"/>
      <c r="B4" s="61" t="n"/>
      <c r="C4" s="61" t="n"/>
      <c r="D4" s="61" t="n"/>
      <c r="E4" s="61" t="n"/>
      <c r="F4" s="61" t="inlineStr">
        <is>
          <t>T</t>
        </is>
      </c>
      <c r="G4" s="61" t="inlineStr">
        <is>
          <t>S</t>
        </is>
      </c>
      <c r="H4" s="61" t="inlineStr">
        <is>
          <t>Contrib%</t>
        </is>
      </c>
      <c r="I4" s="62" t="inlineStr">
        <is>
          <t>T</t>
        </is>
      </c>
      <c r="J4" s="62" t="inlineStr">
        <is>
          <t>S</t>
        </is>
      </c>
      <c r="K4" s="62" t="inlineStr">
        <is>
          <t>Contrib%</t>
        </is>
      </c>
      <c r="L4" s="62" t="inlineStr">
        <is>
          <t>T</t>
        </is>
      </c>
      <c r="M4" s="62" t="inlineStr">
        <is>
          <t>S</t>
        </is>
      </c>
      <c r="N4" s="62" t="inlineStr">
        <is>
          <t>Contrib%</t>
        </is>
      </c>
      <c r="O4" s="62" t="inlineStr">
        <is>
          <t>T</t>
        </is>
      </c>
      <c r="P4" s="62" t="inlineStr">
        <is>
          <t>S</t>
        </is>
      </c>
      <c r="Q4" s="62" t="inlineStr">
        <is>
          <t>Contrib%</t>
        </is>
      </c>
      <c r="R4" s="62" t="inlineStr">
        <is>
          <t>T</t>
        </is>
      </c>
      <c r="S4" s="62" t="inlineStr">
        <is>
          <t>S</t>
        </is>
      </c>
      <c r="T4" s="62" t="inlineStr">
        <is>
          <t>Contrib%</t>
        </is>
      </c>
      <c r="U4" s="62" t="inlineStr">
        <is>
          <t>T</t>
        </is>
      </c>
      <c r="V4" s="62" t="inlineStr">
        <is>
          <t>S</t>
        </is>
      </c>
      <c r="W4" s="62" t="inlineStr">
        <is>
          <t>Contrib%</t>
        </is>
      </c>
      <c r="X4" s="62" t="inlineStr">
        <is>
          <t>T</t>
        </is>
      </c>
      <c r="Y4" s="62" t="inlineStr">
        <is>
          <t>S</t>
        </is>
      </c>
      <c r="Z4" s="62" t="inlineStr">
        <is>
          <t>Contrib%</t>
        </is>
      </c>
      <c r="AA4" s="62" t="inlineStr">
        <is>
          <t>T</t>
        </is>
      </c>
      <c r="AB4" s="62" t="inlineStr">
        <is>
          <t>S</t>
        </is>
      </c>
      <c r="AC4" s="62" t="inlineStr">
        <is>
          <t>Contrib%</t>
        </is>
      </c>
      <c r="AD4" s="62" t="inlineStr">
        <is>
          <t>T</t>
        </is>
      </c>
      <c r="AE4" s="62" t="inlineStr">
        <is>
          <t>S</t>
        </is>
      </c>
      <c r="AF4" s="62" t="inlineStr">
        <is>
          <t>Contrib%</t>
        </is>
      </c>
      <c r="AG4" s="62" t="inlineStr">
        <is>
          <t>T</t>
        </is>
      </c>
      <c r="AH4" s="62" t="inlineStr">
        <is>
          <t>S</t>
        </is>
      </c>
      <c r="AI4" s="62" t="inlineStr">
        <is>
          <t>Contrib%</t>
        </is>
      </c>
      <c r="AJ4" s="62" t="inlineStr">
        <is>
          <t>T</t>
        </is>
      </c>
      <c r="AK4" s="62" t="inlineStr">
        <is>
          <t>S</t>
        </is>
      </c>
      <c r="AL4" s="62" t="inlineStr">
        <is>
          <t>Contrib%</t>
        </is>
      </c>
      <c r="AM4" s="62" t="inlineStr">
        <is>
          <t>T</t>
        </is>
      </c>
      <c r="AN4" s="62" t="inlineStr">
        <is>
          <t>S</t>
        </is>
      </c>
      <c r="AO4" s="62" t="inlineStr">
        <is>
          <t>Contrib%</t>
        </is>
      </c>
      <c r="AP4" s="62" t="inlineStr">
        <is>
          <t>T</t>
        </is>
      </c>
      <c r="AQ4" s="62" t="inlineStr">
        <is>
          <t>S</t>
        </is>
      </c>
      <c r="AR4" s="62" t="inlineStr">
        <is>
          <t>Contrib%</t>
        </is>
      </c>
      <c r="AS4" s="60" t="n"/>
      <c r="AT4" s="60" t="n"/>
    </row>
    <row r="5" ht="20" customHeight="1">
      <c r="A5" s="63" t="inlineStr">
        <is>
          <t>GRAND TOTAL</t>
        </is>
      </c>
      <c r="B5" s="59" t="n"/>
      <c r="C5" s="59" t="n"/>
      <c r="D5" s="59" t="n"/>
      <c r="E5" s="60" t="n"/>
      <c r="F5" s="64">
        <f>SUM(F12:F64)</f>
        <v/>
      </c>
      <c r="G5" s="64">
        <f>SUM(G12:G64)</f>
        <v/>
      </c>
      <c r="H5" s="65">
        <f>IFERROR(IF(G5&gt;0,F5/G5,"-"),"-")</f>
        <v/>
      </c>
      <c r="I5" s="66">
        <f>SUM(I12:I64)</f>
        <v/>
      </c>
      <c r="J5" s="66">
        <f>SUM(J12:J64)</f>
        <v/>
      </c>
      <c r="K5" s="67">
        <f>IFERROR(IF(J5&gt;0,I5/J5,"-"),"-")</f>
        <v/>
      </c>
      <c r="L5" s="66">
        <f>SUM(L12:L64)</f>
        <v/>
      </c>
      <c r="M5" s="66">
        <f>SUM(M12:M64)</f>
        <v/>
      </c>
      <c r="N5" s="67">
        <f>IFERROR(IF(M5&gt;0,L5/M5,"-"),"-")</f>
        <v/>
      </c>
      <c r="O5" s="66">
        <f>SUM(O12:O64)</f>
        <v/>
      </c>
      <c r="P5" s="66">
        <f>SUM(P12:P64)</f>
        <v/>
      </c>
      <c r="Q5" s="67">
        <f>IFERROR(IF(P5&gt;0,O5/P5,"-"),"-")</f>
        <v/>
      </c>
      <c r="R5" s="66">
        <f>SUM(R12:R64)</f>
        <v/>
      </c>
      <c r="S5" s="66">
        <f>SUM(S12:S64)</f>
        <v/>
      </c>
      <c r="T5" s="67">
        <f>IFERROR(IF(S5&gt;0,R5/S5,"-"),"-")</f>
        <v/>
      </c>
      <c r="U5" s="66">
        <f>SUM(U12:U64)</f>
        <v/>
      </c>
      <c r="V5" s="66">
        <f>SUM(V12:V64)</f>
        <v/>
      </c>
      <c r="W5" s="67">
        <f>IFERROR(IF(V5&gt;0,U5/V5,"-"),"-")</f>
        <v/>
      </c>
      <c r="X5" s="66">
        <f>SUM(X12:X64)</f>
        <v/>
      </c>
      <c r="Y5" s="66">
        <f>SUM(Y12:Y64)</f>
        <v/>
      </c>
      <c r="Z5" s="67">
        <f>IFERROR(IF(Y5&gt;0,X5/Y5,"-"),"-")</f>
        <v/>
      </c>
      <c r="AA5" s="66">
        <f>SUM(AA12:AA64)</f>
        <v/>
      </c>
      <c r="AB5" s="66">
        <f>SUM(AB12:AB64)</f>
        <v/>
      </c>
      <c r="AC5" s="67">
        <f>IFERROR(IF(AB5&gt;0,AA5/AB5,"-"),"-")</f>
        <v/>
      </c>
      <c r="AD5" s="66">
        <f>SUM(AD12:AD64)</f>
        <v/>
      </c>
      <c r="AE5" s="66">
        <f>SUM(AE12:AE64)</f>
        <v/>
      </c>
      <c r="AF5" s="67">
        <f>IFERROR(IF(AE5&gt;0,AD5/AE5,"-"),"-")</f>
        <v/>
      </c>
      <c r="AG5" s="66">
        <f>SUM(AG12:AG64)</f>
        <v/>
      </c>
      <c r="AH5" s="66">
        <f>SUM(AH12:AH64)</f>
        <v/>
      </c>
      <c r="AI5" s="67">
        <f>IFERROR(IF(AH5&gt;0,AG5/AH5,"-"),"-")</f>
        <v/>
      </c>
      <c r="AJ5" s="66">
        <f>SUM(AJ12:AJ64)</f>
        <v/>
      </c>
      <c r="AK5" s="66">
        <f>SUM(AK12:AK64)</f>
        <v/>
      </c>
      <c r="AL5" s="67">
        <f>IFERROR(IF(AK5&gt;0,AJ5/AK5,"-"),"-")</f>
        <v/>
      </c>
      <c r="AM5" s="66">
        <f>SUM(AM12:AM64)</f>
        <v/>
      </c>
      <c r="AN5" s="66">
        <f>SUM(AN12:AN64)</f>
        <v/>
      </c>
      <c r="AO5" s="67">
        <f>IFERROR(IF(AN5&gt;0,AM5/AN5,"-"),"-")</f>
        <v/>
      </c>
      <c r="AP5" s="66">
        <f>SUM(AP12:AP64)</f>
        <v/>
      </c>
      <c r="AQ5" s="66">
        <f>SUM(AQ12:AQ64)</f>
        <v/>
      </c>
      <c r="AR5" s="67">
        <f>IFERROR(IF(AQ5&gt;0,AP5/AQ5,"-"),"-")</f>
        <v/>
      </c>
      <c r="AS5" s="60" t="n"/>
      <c r="AT5" s="60" t="n"/>
    </row>
    <row r="6" ht="15" customHeight="1">
      <c r="A6" s="68" t="n"/>
      <c r="B6" s="59" t="n"/>
      <c r="C6" s="59" t="n"/>
      <c r="D6" s="59" t="n"/>
      <c r="E6" s="59" t="n"/>
      <c r="F6" s="59" t="n"/>
      <c r="G6" s="59" t="n"/>
      <c r="H6" s="59" t="n"/>
      <c r="I6" s="59" t="n"/>
      <c r="J6" s="59" t="n"/>
      <c r="K6" s="59" t="n"/>
      <c r="L6" s="59" t="n"/>
      <c r="M6" s="59" t="n"/>
      <c r="N6" s="59" t="n"/>
      <c r="O6" s="59" t="n"/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  <c r="Z6" s="59" t="n"/>
      <c r="AA6" s="59" t="n"/>
      <c r="AB6" s="59" t="n"/>
      <c r="AC6" s="59" t="n"/>
      <c r="AD6" s="59" t="n"/>
      <c r="AE6" s="59" t="n"/>
      <c r="AF6" s="59" t="n"/>
      <c r="AG6" s="59" t="n"/>
      <c r="AH6" s="59" t="n"/>
      <c r="AI6" s="59" t="n"/>
      <c r="AJ6" s="59" t="n"/>
      <c r="AK6" s="59" t="n"/>
      <c r="AL6" s="59" t="n"/>
      <c r="AM6" s="59" t="n"/>
      <c r="AN6" s="59" t="n"/>
      <c r="AO6" s="59" t="n"/>
      <c r="AP6" s="59" t="n"/>
      <c r="AQ6" s="59" t="n"/>
      <c r="AR6" s="59" t="n"/>
      <c r="AS6" s="59" t="n"/>
      <c r="AT6" s="59" t="n"/>
    </row>
    <row r="7" ht="15" customHeight="1">
      <c r="A7" s="60" t="n"/>
      <c r="B7" s="69" t="n"/>
      <c r="C7" s="60" t="n"/>
      <c r="D7" s="69" t="n"/>
      <c r="E7" s="60" t="n"/>
      <c r="F7" s="60" t="n"/>
      <c r="G7" s="60" t="n"/>
      <c r="H7" s="60" t="n"/>
      <c r="I7" s="60" t="n"/>
      <c r="J7" s="60" t="n"/>
      <c r="K7" s="60" t="n"/>
      <c r="L7" s="60" t="n"/>
      <c r="M7" s="60" t="n"/>
      <c r="N7" s="60" t="n"/>
      <c r="O7" s="60" t="n"/>
      <c r="P7" s="60" t="n"/>
      <c r="Q7" s="60" t="n"/>
      <c r="R7" s="60" t="n"/>
      <c r="S7" s="60" t="n"/>
      <c r="T7" s="60" t="n"/>
      <c r="U7" s="60" t="n"/>
      <c r="V7" s="60" t="n"/>
      <c r="W7" s="60" t="n"/>
      <c r="X7" s="60" t="n"/>
      <c r="Y7" s="60" t="n"/>
      <c r="Z7" s="60" t="n"/>
      <c r="AA7" s="60" t="n"/>
      <c r="AB7" s="60" t="n"/>
      <c r="AC7" s="60" t="n"/>
      <c r="AD7" s="60" t="n"/>
      <c r="AE7" s="60" t="n"/>
      <c r="AF7" s="60" t="n"/>
      <c r="AG7" s="60" t="n"/>
      <c r="AH7" s="60" t="n"/>
      <c r="AI7" s="60" t="n"/>
      <c r="AJ7" s="60" t="n"/>
      <c r="AK7" s="60" t="n"/>
      <c r="AL7" s="60" t="n"/>
      <c r="AM7" s="60" t="n"/>
      <c r="AN7" s="60" t="n"/>
      <c r="AO7" s="60" t="n"/>
      <c r="AP7" s="60" t="n"/>
      <c r="AQ7" s="60" t="n"/>
      <c r="AR7" s="60" t="n"/>
      <c r="AS7" s="60" t="n"/>
      <c r="AT7" s="60" t="n"/>
    </row>
    <row r="8" ht="15" customHeight="1">
      <c r="A8" s="60" t="n"/>
      <c r="B8" s="69" t="n"/>
      <c r="C8" s="60" t="n"/>
      <c r="D8" s="69" t="n"/>
      <c r="E8" s="60" t="n"/>
      <c r="F8" s="60" t="n"/>
      <c r="G8" s="60" t="n"/>
      <c r="H8" s="60" t="n"/>
      <c r="I8" s="60" t="n"/>
      <c r="J8" s="60" t="n"/>
      <c r="K8" s="60" t="n"/>
      <c r="L8" s="60" t="n"/>
      <c r="M8" s="60" t="n"/>
      <c r="N8" s="60" t="n"/>
      <c r="O8" s="60" t="n"/>
      <c r="P8" s="60" t="n"/>
      <c r="Q8" s="60" t="n"/>
      <c r="R8" s="60" t="n"/>
      <c r="S8" s="60" t="n"/>
      <c r="T8" s="60" t="n"/>
      <c r="U8" s="60" t="n"/>
      <c r="V8" s="60" t="n"/>
      <c r="W8" s="60" t="n"/>
      <c r="X8" s="60" t="n"/>
      <c r="Y8" s="60" t="n"/>
      <c r="Z8" s="60" t="n"/>
      <c r="AA8" s="60" t="n"/>
      <c r="AB8" s="60" t="n"/>
      <c r="AC8" s="60" t="n"/>
      <c r="AD8" s="60" t="n"/>
      <c r="AE8" s="60" t="n"/>
      <c r="AF8" s="60" t="n"/>
      <c r="AG8" s="60" t="n"/>
      <c r="AH8" s="60" t="n"/>
      <c r="AI8" s="60" t="n"/>
      <c r="AJ8" s="60" t="n"/>
      <c r="AK8" s="60" t="n"/>
      <c r="AL8" s="60" t="n"/>
      <c r="AM8" s="60" t="n"/>
      <c r="AN8" s="60" t="n"/>
      <c r="AO8" s="60" t="n"/>
      <c r="AP8" s="60" t="n"/>
      <c r="AQ8" s="60" t="n"/>
      <c r="AR8" s="60" t="n"/>
      <c r="AS8" s="60" t="n"/>
      <c r="AT8" s="60" t="n"/>
    </row>
    <row r="9" ht="15" customHeight="1">
      <c r="A9" s="60" t="n"/>
      <c r="B9" s="69" t="n"/>
      <c r="C9" s="60" t="n"/>
      <c r="D9" s="69" t="n"/>
      <c r="E9" s="60" t="n"/>
      <c r="F9" s="60" t="n"/>
      <c r="G9" s="60" t="n"/>
      <c r="H9" s="60" t="n"/>
      <c r="I9" s="60" t="n"/>
      <c r="J9" s="60" t="n"/>
      <c r="K9" s="60" t="n"/>
      <c r="L9" s="60" t="n"/>
      <c r="M9" s="60" t="n"/>
      <c r="N9" s="60" t="n"/>
      <c r="O9" s="60" t="n"/>
      <c r="P9" s="60" t="n"/>
      <c r="Q9" s="60" t="n"/>
      <c r="R9" s="60" t="n"/>
      <c r="S9" s="60" t="n"/>
      <c r="T9" s="60" t="n"/>
      <c r="U9" s="60" t="n"/>
      <c r="V9" s="60" t="n"/>
      <c r="W9" s="60" t="n"/>
      <c r="X9" s="60" t="n"/>
      <c r="Y9" s="60" t="n"/>
      <c r="Z9" s="60" t="n"/>
      <c r="AA9" s="60" t="n"/>
      <c r="AB9" s="60" t="n"/>
      <c r="AC9" s="60" t="n"/>
      <c r="AD9" s="60" t="n"/>
      <c r="AE9" s="60" t="n"/>
      <c r="AF9" s="60" t="n"/>
      <c r="AG9" s="60" t="n"/>
      <c r="AH9" s="60" t="n"/>
      <c r="AI9" s="60" t="n"/>
      <c r="AJ9" s="60" t="n"/>
      <c r="AK9" s="60" t="n"/>
      <c r="AL9" s="60" t="n"/>
      <c r="AM9" s="60" t="n"/>
      <c r="AN9" s="60" t="n"/>
      <c r="AO9" s="60" t="n"/>
      <c r="AP9" s="60" t="n"/>
      <c r="AQ9" s="60" t="n"/>
      <c r="AR9" s="60" t="n"/>
      <c r="AS9" s="60" t="n"/>
      <c r="AT9" s="60" t="n"/>
    </row>
    <row r="10" ht="15" customHeight="1">
      <c r="A10" s="60" t="n"/>
      <c r="B10" s="69" t="n"/>
      <c r="C10" s="60" t="n"/>
      <c r="D10" s="69" t="n"/>
      <c r="E10" s="60" t="n"/>
      <c r="F10" s="60" t="n"/>
      <c r="G10" s="60" t="n"/>
      <c r="H10" s="60" t="n"/>
      <c r="I10" s="60" t="n"/>
      <c r="J10" s="60" t="n"/>
      <c r="K10" s="60" t="n"/>
      <c r="L10" s="60" t="n"/>
      <c r="M10" s="60" t="n"/>
      <c r="N10" s="60" t="n"/>
      <c r="O10" s="60" t="n"/>
      <c r="P10" s="60" t="n"/>
      <c r="Q10" s="60" t="n"/>
      <c r="R10" s="60" t="n"/>
      <c r="S10" s="60" t="n"/>
      <c r="T10" s="60" t="n"/>
      <c r="U10" s="60" t="n"/>
      <c r="V10" s="60" t="n"/>
      <c r="W10" s="60" t="n"/>
      <c r="X10" s="60" t="n"/>
      <c r="Y10" s="60" t="n"/>
      <c r="Z10" s="60" t="n"/>
      <c r="AA10" s="60" t="n"/>
      <c r="AB10" s="60" t="n"/>
      <c r="AC10" s="60" t="n"/>
      <c r="AD10" s="60" t="n"/>
      <c r="AE10" s="60" t="n"/>
      <c r="AF10" s="60" t="n"/>
      <c r="AG10" s="60" t="n"/>
      <c r="AH10" s="60" t="n"/>
      <c r="AI10" s="60" t="n"/>
      <c r="AJ10" s="60" t="n"/>
      <c r="AK10" s="60" t="n"/>
      <c r="AL10" s="60" t="n"/>
      <c r="AM10" s="60" t="n"/>
      <c r="AN10" s="60" t="n"/>
      <c r="AO10" s="60" t="n"/>
      <c r="AP10" s="60" t="n"/>
      <c r="AQ10" s="60" t="n"/>
      <c r="AR10" s="60" t="n"/>
      <c r="AS10" s="60" t="n"/>
      <c r="AT10" s="60" t="n"/>
    </row>
    <row r="11" ht="15" customHeight="1">
      <c r="A11" s="60" t="n"/>
      <c r="B11" s="69" t="n"/>
      <c r="C11" s="60" t="n"/>
      <c r="D11" s="69" t="n"/>
      <c r="E11" s="60" t="n"/>
      <c r="F11" s="60" t="n"/>
      <c r="G11" s="60" t="n"/>
      <c r="H11" s="60" t="n"/>
      <c r="I11" s="60" t="n"/>
      <c r="J11" s="60" t="n"/>
      <c r="K11" s="60" t="n"/>
      <c r="L11" s="60" t="n"/>
      <c r="M11" s="60" t="n"/>
      <c r="N11" s="60" t="n"/>
      <c r="O11" s="60" t="n"/>
      <c r="P11" s="60" t="n"/>
      <c r="Q11" s="60" t="n"/>
      <c r="R11" s="60" t="n"/>
      <c r="S11" s="60" t="n"/>
      <c r="T11" s="60" t="n"/>
      <c r="U11" s="60" t="n"/>
      <c r="V11" s="60" t="n"/>
      <c r="W11" s="60" t="n"/>
      <c r="X11" s="60" t="n"/>
      <c r="Y11" s="60" t="n"/>
      <c r="Z11" s="60" t="n"/>
      <c r="AA11" s="60" t="n"/>
      <c r="AB11" s="60" t="n"/>
      <c r="AC11" s="60" t="n"/>
      <c r="AD11" s="60" t="n"/>
      <c r="AE11" s="60" t="n"/>
      <c r="AF11" s="60" t="n"/>
      <c r="AG11" s="60" t="n"/>
      <c r="AH11" s="60" t="n"/>
      <c r="AI11" s="60" t="n"/>
      <c r="AJ11" s="60" t="n"/>
      <c r="AK11" s="60" t="n"/>
      <c r="AL11" s="60" t="n"/>
      <c r="AM11" s="60" t="n"/>
      <c r="AN11" s="60" t="n"/>
      <c r="AO11" s="60" t="n"/>
      <c r="AP11" s="60" t="n"/>
      <c r="AQ11" s="60" t="n"/>
      <c r="AR11" s="60" t="n"/>
      <c r="AS11" s="60" t="n"/>
      <c r="AT11" s="60" t="n"/>
    </row>
    <row r="12" ht="15" customHeight="1">
      <c r="A12" s="70" t="n">
        <v>6</v>
      </c>
      <c r="B12" s="71" t="inlineStr">
        <is>
          <t>Heritage Collection</t>
        </is>
      </c>
      <c r="C12" s="70" t="inlineStr">
        <is>
          <t>HR0006</t>
        </is>
      </c>
      <c r="D12" s="71" t="inlineStr">
        <is>
          <t>Safeena - Heritage Collection</t>
        </is>
      </c>
      <c r="E12" s="70" t="n">
        <v>1</v>
      </c>
      <c r="F12" s="72">
        <f>SUM(I12:AP12)</f>
        <v/>
      </c>
      <c r="G12" s="72">
        <f>SUM(J12:AQ12)</f>
        <v/>
      </c>
      <c r="H12" s="73">
        <f>IFERROR(IF(G12&gt;0,F12/G12,"-"),"-")</f>
        <v/>
      </c>
      <c r="I12" s="74" t="n">
        <v>8</v>
      </c>
      <c r="J12" s="74">
        <f>IFERROR(IF(I12&gt;0,H12/I12,"-"),"-")</f>
        <v/>
      </c>
      <c r="K12" s="75" t="n">
        <v>2</v>
      </c>
      <c r="L12" s="74" t="n">
        <v>26</v>
      </c>
      <c r="M12" s="74">
        <f>IFERROR(IF(L12&gt;0,K12/L12,"-"),"-")</f>
        <v/>
      </c>
      <c r="N12" s="75" t="n">
        <v>2</v>
      </c>
      <c r="O12" s="74" t="n">
        <v>4</v>
      </c>
      <c r="P12" s="74">
        <f>IFERROR(IF(O12&gt;0,N12/O12,"-"),"-")</f>
        <v/>
      </c>
      <c r="Q12" s="75" t="n">
        <v>1</v>
      </c>
      <c r="R12" s="74" t="n">
        <v>11</v>
      </c>
      <c r="S12" s="74">
        <f>IFERROR(IF(R12&gt;0,Q12/R12,"-"),"-")</f>
        <v/>
      </c>
      <c r="T12" s="75" t="n"/>
      <c r="U12" s="74" t="n">
        <v>10</v>
      </c>
      <c r="V12" s="74">
        <f>IFERROR(IF(U12&gt;0,T12/U12,"-"),"-")</f>
        <v/>
      </c>
      <c r="W12" s="75" t="n">
        <v>1</v>
      </c>
      <c r="X12" s="74" t="n">
        <v>10</v>
      </c>
      <c r="Y12" s="74">
        <f>IFERROR(IF(X12&gt;0,W12/X12,"-"),"-")</f>
        <v/>
      </c>
      <c r="Z12" s="75" t="n">
        <v>3</v>
      </c>
      <c r="AA12" s="74" t="n">
        <v>18</v>
      </c>
      <c r="AB12" s="74">
        <f>IFERROR(IF(AA12&gt;0,Z12/AA12,"-"),"-")</f>
        <v/>
      </c>
      <c r="AC12" s="75" t="n">
        <v>3</v>
      </c>
      <c r="AD12" s="74" t="n"/>
      <c r="AE12" s="74">
        <f>IFERROR(IF(AD12&gt;0,AC12/AD12,"-"),"-")</f>
        <v/>
      </c>
      <c r="AF12" s="75" t="n"/>
      <c r="AG12" s="74" t="n"/>
      <c r="AH12" s="74">
        <f>IFERROR(IF(AG12&gt;0,AF12/AG12,"-"),"-")</f>
        <v/>
      </c>
      <c r="AI12" s="75" t="n"/>
      <c r="AJ12" s="74" t="n">
        <v>12</v>
      </c>
      <c r="AK12" s="74">
        <f>IFERROR(IF(AJ12&gt;0,AI12/AJ12,"-"),"-")</f>
        <v/>
      </c>
      <c r="AL12" s="75" t="n"/>
      <c r="AM12" s="74" t="n">
        <v>5</v>
      </c>
      <c r="AN12" s="74">
        <f>IFERROR(IF(AM12&gt;0,AL12/AM12,"-"),"-")</f>
        <v/>
      </c>
      <c r="AO12" s="75" t="n">
        <v>1</v>
      </c>
      <c r="AP12" s="74" t="n">
        <v>13</v>
      </c>
      <c r="AQ12" s="74">
        <f>IFERROR(IF(AP12&gt;0,AO12/AP12,"-"),"-")</f>
        <v/>
      </c>
      <c r="AR12" s="75" t="n"/>
      <c r="AS12" s="60" t="n"/>
      <c r="AT12" s="60" t="n"/>
    </row>
    <row r="13" ht="15" customHeight="1">
      <c r="A13" s="70" t="n">
        <v>7</v>
      </c>
      <c r="B13" s="71" t="inlineStr">
        <is>
          <t>Heritage Collection</t>
        </is>
      </c>
      <c r="C13" s="70" t="inlineStr">
        <is>
          <t>HR0007</t>
        </is>
      </c>
      <c r="D13" s="71" t="inlineStr">
        <is>
          <t>Dallah- Heritage Collection</t>
        </is>
      </c>
      <c r="E13" s="70" t="n">
        <v>4</v>
      </c>
      <c r="F13" s="72">
        <f>SUM(I13:AP13)</f>
        <v/>
      </c>
      <c r="G13" s="72">
        <f>SUM(J13:AQ13)</f>
        <v/>
      </c>
      <c r="H13" s="73">
        <f>IFERROR(IF(G13&gt;0,F13/G13,"-"),"-")</f>
        <v/>
      </c>
      <c r="I13" s="74" t="n">
        <v>5</v>
      </c>
      <c r="J13" s="74">
        <f>IFERROR(IF(I13&gt;0,H13/I13,"-"),"-")</f>
        <v/>
      </c>
      <c r="K13" s="75" t="n">
        <v>2</v>
      </c>
      <c r="L13" s="74" t="n">
        <v>16</v>
      </c>
      <c r="M13" s="74">
        <f>IFERROR(IF(L13&gt;0,K13/L13,"-"),"-")</f>
        <v/>
      </c>
      <c r="N13" s="75" t="n">
        <v>1</v>
      </c>
      <c r="O13" s="74" t="n">
        <v>6</v>
      </c>
      <c r="P13" s="74">
        <f>IFERROR(IF(O13&gt;0,N13/O13,"-"),"-")</f>
        <v/>
      </c>
      <c r="Q13" s="75" t="n"/>
      <c r="R13" s="74" t="n">
        <v>14</v>
      </c>
      <c r="S13" s="74">
        <f>IFERROR(IF(R13&gt;0,Q13/R13,"-"),"-")</f>
        <v/>
      </c>
      <c r="T13" s="75" t="n"/>
      <c r="U13" s="74" t="n">
        <v>14</v>
      </c>
      <c r="V13" s="74">
        <f>IFERROR(IF(U13&gt;0,T13/U13,"-"),"-")</f>
        <v/>
      </c>
      <c r="W13" s="75" t="n">
        <v>1</v>
      </c>
      <c r="X13" s="74" t="n">
        <v>14</v>
      </c>
      <c r="Y13" s="74">
        <f>IFERROR(IF(X13&gt;0,W13/X13,"-"),"-")</f>
        <v/>
      </c>
      <c r="Z13" s="75" t="n">
        <v>4</v>
      </c>
      <c r="AA13" s="74" t="n">
        <v>26</v>
      </c>
      <c r="AB13" s="74">
        <f>IFERROR(IF(AA13&gt;0,Z13/AA13,"-"),"-")</f>
        <v/>
      </c>
      <c r="AC13" s="75" t="n">
        <v>4</v>
      </c>
      <c r="AD13" s="74" t="n"/>
      <c r="AE13" s="74">
        <f>IFERROR(IF(AD13&gt;0,AC13/AD13,"-"),"-")</f>
        <v/>
      </c>
      <c r="AF13" s="75" t="n"/>
      <c r="AG13" s="74" t="n"/>
      <c r="AH13" s="74">
        <f>IFERROR(IF(AG13&gt;0,AF13/AG13,"-"),"-")</f>
        <v/>
      </c>
      <c r="AI13" s="75" t="n">
        <v>1</v>
      </c>
      <c r="AJ13" s="74" t="n">
        <v>49</v>
      </c>
      <c r="AK13" s="74">
        <f>IFERROR(IF(AJ13&gt;0,AI13/AJ13,"-"),"-")</f>
        <v/>
      </c>
      <c r="AL13" s="75" t="n">
        <v>1</v>
      </c>
      <c r="AM13" s="74" t="n">
        <v>3</v>
      </c>
      <c r="AN13" s="74">
        <f>IFERROR(IF(AM13&gt;0,AL13/AM13,"-"),"-")</f>
        <v/>
      </c>
      <c r="AO13" s="75" t="n">
        <v>1</v>
      </c>
      <c r="AP13" s="74" t="n">
        <v>13</v>
      </c>
      <c r="AQ13" s="74">
        <f>IFERROR(IF(AP13&gt;0,AO13/AP13,"-"),"-")</f>
        <v/>
      </c>
      <c r="AR13" s="75" t="n"/>
      <c r="AS13" s="60" t="n"/>
      <c r="AT13" s="60" t="n"/>
    </row>
    <row r="14" ht="15" customHeight="1">
      <c r="A14" s="76" t="inlineStr">
        <is>
          <t xml:space="preserve">  BEL COLLECTIONS</t>
        </is>
      </c>
      <c r="B14" s="77" t="n"/>
      <c r="C14" s="77" t="n"/>
      <c r="D14" s="77" t="n"/>
      <c r="E14" s="77" t="n">
        <v>2</v>
      </c>
      <c r="F14" s="72">
        <f>SUM(I14:AP14)</f>
        <v/>
      </c>
      <c r="G14" s="72">
        <f>SUM(J14:AQ14)</f>
        <v/>
      </c>
      <c r="H14" s="73">
        <f>IFERROR(IF(G14&gt;0,F14/G14,"-"),"-")</f>
        <v/>
      </c>
      <c r="I14" s="74" t="n">
        <v>2</v>
      </c>
      <c r="J14" s="74">
        <f>IFERROR(IF(I14&gt;0,H14/I14,"-"),"-")</f>
        <v/>
      </c>
      <c r="K14" s="75" t="n"/>
      <c r="L14" s="74" t="n">
        <v>7</v>
      </c>
      <c r="M14" s="74">
        <f>IFERROR(IF(L14&gt;0,K14/L14,"-"),"-")</f>
        <v/>
      </c>
      <c r="N14" s="75" t="n">
        <v>1</v>
      </c>
      <c r="O14" s="74" t="n">
        <v>1</v>
      </c>
      <c r="P14" s="74">
        <f>IFERROR(IF(O14&gt;0,N14/O14,"-"),"-")</f>
        <v/>
      </c>
      <c r="Q14" s="75" t="n"/>
      <c r="R14" s="74" t="n">
        <v>2</v>
      </c>
      <c r="S14" s="74">
        <f>IFERROR(IF(R14&gt;0,Q14/R14,"-"),"-")</f>
        <v/>
      </c>
      <c r="T14" s="75" t="n">
        <v>1</v>
      </c>
      <c r="U14" s="74" t="n">
        <v>3</v>
      </c>
      <c r="V14" s="74">
        <f>IFERROR(IF(U14&gt;0,T14/U14,"-"),"-")</f>
        <v/>
      </c>
      <c r="W14" s="75" t="n">
        <v>1</v>
      </c>
      <c r="X14" s="74" t="n">
        <v>3</v>
      </c>
      <c r="Y14" s="74">
        <f>IFERROR(IF(X14&gt;0,W14/X14,"-"),"-")</f>
        <v/>
      </c>
      <c r="Z14" s="75" t="n"/>
      <c r="AA14" s="74" t="n">
        <v>2</v>
      </c>
      <c r="AB14" s="74">
        <f>IFERROR(IF(AA14&gt;0,Z14/AA14,"-"),"-")</f>
        <v/>
      </c>
      <c r="AC14" s="75" t="n">
        <v>3</v>
      </c>
      <c r="AD14" s="74" t="n"/>
      <c r="AE14" s="74">
        <f>IFERROR(IF(AD14&gt;0,AC14/AD14,"-"),"-")</f>
        <v/>
      </c>
      <c r="AF14" s="75" t="n"/>
      <c r="AG14" s="74" t="n"/>
      <c r="AH14" s="74">
        <f>IFERROR(IF(AG14&gt;0,AF14/AG14,"-"),"-")</f>
        <v/>
      </c>
      <c r="AI14" s="75" t="n"/>
      <c r="AJ14" s="74" t="n">
        <v>4</v>
      </c>
      <c r="AK14" s="74">
        <f>IFERROR(IF(AJ14&gt;0,AI14/AJ14,"-"),"-")</f>
        <v/>
      </c>
      <c r="AL14" s="75" t="n"/>
      <c r="AM14" s="74" t="n">
        <v>2</v>
      </c>
      <c r="AN14" s="74">
        <f>IFERROR(IF(AM14&gt;0,AL14/AM14,"-"),"-")</f>
        <v/>
      </c>
      <c r="AO14" s="75" t="n"/>
      <c r="AP14" s="74" t="n"/>
      <c r="AQ14" s="74">
        <f>IFERROR(IF(AP14&gt;0,AO14/AP14,"-"),"-")</f>
        <v/>
      </c>
      <c r="AR14" s="75" t="n"/>
      <c r="AS14" s="59" t="n"/>
      <c r="AT14" s="59" t="n"/>
    </row>
    <row r="15" ht="15" customHeight="1">
      <c r="A15" s="70" t="n">
        <v>8</v>
      </c>
      <c r="B15" s="71" t="inlineStr">
        <is>
          <t>Bel Collections</t>
        </is>
      </c>
      <c r="C15" s="70" t="inlineStr">
        <is>
          <t>B00001</t>
        </is>
      </c>
      <c r="D15" s="71" t="inlineStr">
        <is>
          <t>Bergamot bel Amber</t>
        </is>
      </c>
      <c r="E15" s="70" t="n">
        <v>4</v>
      </c>
      <c r="F15" s="72">
        <f>SUM(I15:AP15)</f>
        <v/>
      </c>
      <c r="G15" s="72">
        <f>SUM(J15:AQ15)</f>
        <v/>
      </c>
      <c r="H15" s="73">
        <f>IFERROR(IF(G15&gt;0,F15/G15,"-"),"-")</f>
        <v/>
      </c>
      <c r="I15" s="74" t="n">
        <v>31</v>
      </c>
      <c r="J15" s="74">
        <f>IFERROR(IF(I15&gt;0,H15/I15,"-"),"-")</f>
        <v/>
      </c>
      <c r="K15" s="75" t="n">
        <v>6</v>
      </c>
      <c r="L15" s="74" t="n">
        <v>39</v>
      </c>
      <c r="M15" s="74">
        <f>IFERROR(IF(L15&gt;0,K15/L15,"-"),"-")</f>
        <v/>
      </c>
      <c r="N15" s="75" t="n">
        <v>2</v>
      </c>
      <c r="O15" s="74" t="n">
        <v>16</v>
      </c>
      <c r="P15" s="74">
        <f>IFERROR(IF(O15&gt;0,N15/O15,"-"),"-")</f>
        <v/>
      </c>
      <c r="Q15" s="75" t="n">
        <v>3</v>
      </c>
      <c r="R15" s="74" t="n">
        <v>41</v>
      </c>
      <c r="S15" s="74">
        <f>IFERROR(IF(R15&gt;0,Q15/R15,"-"),"-")</f>
        <v/>
      </c>
      <c r="T15" s="75" t="n">
        <v>3</v>
      </c>
      <c r="U15" s="74" t="n">
        <v>28</v>
      </c>
      <c r="V15" s="74">
        <f>IFERROR(IF(U15&gt;0,T15/U15,"-"),"-")</f>
        <v/>
      </c>
      <c r="W15" s="75" t="n">
        <v>6</v>
      </c>
      <c r="X15" s="74" t="n">
        <v>29</v>
      </c>
      <c r="Y15" s="74">
        <f>IFERROR(IF(X15&gt;0,W15/X15,"-"),"-")</f>
        <v/>
      </c>
      <c r="Z15" s="75" t="n">
        <v>8</v>
      </c>
      <c r="AA15" s="74" t="n">
        <v>71</v>
      </c>
      <c r="AB15" s="74">
        <f>IFERROR(IF(AA15&gt;0,Z15/AA15,"-"),"-")</f>
        <v/>
      </c>
      <c r="AC15" s="75" t="n">
        <v>10</v>
      </c>
      <c r="AD15" s="74" t="n"/>
      <c r="AE15" s="74">
        <f>IFERROR(IF(AD15&gt;0,AC15/AD15,"-"),"-")</f>
        <v/>
      </c>
      <c r="AF15" s="75" t="n"/>
      <c r="AG15" s="74" t="n"/>
      <c r="AH15" s="74">
        <f>IFERROR(IF(AG15&gt;0,AF15/AG15,"-"),"-")</f>
        <v/>
      </c>
      <c r="AI15" s="75" t="n">
        <v>4</v>
      </c>
      <c r="AJ15" s="74" t="n">
        <v>32</v>
      </c>
      <c r="AK15" s="74">
        <f>IFERROR(IF(AJ15&gt;0,AI15/AJ15,"-"),"-")</f>
        <v/>
      </c>
      <c r="AL15" s="75" t="n">
        <v>2</v>
      </c>
      <c r="AM15" s="74" t="n">
        <v>25</v>
      </c>
      <c r="AN15" s="74">
        <f>IFERROR(IF(AM15&gt;0,AL15/AM15,"-"),"-")</f>
        <v/>
      </c>
      <c r="AO15" s="75" t="n"/>
      <c r="AP15" s="74" t="n">
        <v>25</v>
      </c>
      <c r="AQ15" s="74">
        <f>IFERROR(IF(AP15&gt;0,AO15/AP15,"-"),"-")</f>
        <v/>
      </c>
      <c r="AR15" s="75" t="n">
        <v>3</v>
      </c>
      <c r="AS15" s="60" t="n"/>
      <c r="AT15" s="60" t="n"/>
    </row>
    <row r="16" ht="15" customHeight="1">
      <c r="A16" s="70" t="n">
        <v>9</v>
      </c>
      <c r="B16" s="71" t="inlineStr">
        <is>
          <t>Bel Collections</t>
        </is>
      </c>
      <c r="C16" s="70" t="inlineStr">
        <is>
          <t>B00002</t>
        </is>
      </c>
      <c r="D16" s="71" t="inlineStr">
        <is>
          <t>Jasmin bel Musk</t>
        </is>
      </c>
      <c r="E16" s="70" t="n">
        <v>7</v>
      </c>
      <c r="F16" s="72">
        <f>SUM(I16:AP16)</f>
        <v/>
      </c>
      <c r="G16" s="72">
        <f>SUM(J16:AQ16)</f>
        <v/>
      </c>
      <c r="H16" s="73">
        <f>IFERROR(IF(G16&gt;0,F16/G16,"-"),"-")</f>
        <v/>
      </c>
      <c r="I16" s="74" t="n">
        <v>62</v>
      </c>
      <c r="J16" s="74">
        <f>IFERROR(IF(I16&gt;0,H16/I16,"-"),"-")</f>
        <v/>
      </c>
      <c r="K16" s="75" t="n">
        <v>8</v>
      </c>
      <c r="L16" s="74" t="n">
        <v>120</v>
      </c>
      <c r="M16" s="74">
        <f>IFERROR(IF(L16&gt;0,K16/L16,"-"),"-")</f>
        <v/>
      </c>
      <c r="N16" s="75" t="n">
        <v>6</v>
      </c>
      <c r="O16" s="74" t="n">
        <v>32</v>
      </c>
      <c r="P16" s="74">
        <f>IFERROR(IF(O16&gt;0,N16/O16,"-"),"-")</f>
        <v/>
      </c>
      <c r="Q16" s="75" t="n">
        <v>4</v>
      </c>
      <c r="R16" s="74" t="n">
        <v>100</v>
      </c>
      <c r="S16" s="74">
        <f>IFERROR(IF(R16&gt;0,Q16/R16,"-"),"-")</f>
        <v/>
      </c>
      <c r="T16" s="75" t="n">
        <v>5</v>
      </c>
      <c r="U16" s="74" t="n">
        <v>92</v>
      </c>
      <c r="V16" s="74">
        <f>IFERROR(IF(U16&gt;0,T16/U16,"-"),"-")</f>
        <v/>
      </c>
      <c r="W16" s="75" t="n">
        <v>11</v>
      </c>
      <c r="X16" s="74" t="n">
        <v>107</v>
      </c>
      <c r="Y16" s="74">
        <f>IFERROR(IF(X16&gt;0,W16/X16,"-"),"-")</f>
        <v/>
      </c>
      <c r="Z16" s="75" t="n">
        <v>19</v>
      </c>
      <c r="AA16" s="74" t="n">
        <v>178</v>
      </c>
      <c r="AB16" s="74">
        <f>IFERROR(IF(AA16&gt;0,Z16/AA16,"-"),"-")</f>
        <v/>
      </c>
      <c r="AC16" s="75" t="n">
        <v>15</v>
      </c>
      <c r="AD16" s="74" t="n"/>
      <c r="AE16" s="74">
        <f>IFERROR(IF(AD16&gt;0,AC16/AD16,"-"),"-")</f>
        <v/>
      </c>
      <c r="AF16" s="75" t="n"/>
      <c r="AG16" s="74" t="n"/>
      <c r="AH16" s="74">
        <f>IFERROR(IF(AG16&gt;0,AF16/AG16,"-"),"-")</f>
        <v/>
      </c>
      <c r="AI16" s="75" t="n">
        <v>6</v>
      </c>
      <c r="AJ16" s="74" t="n">
        <v>95</v>
      </c>
      <c r="AK16" s="74">
        <f>IFERROR(IF(AJ16&gt;0,AI16/AJ16,"-"),"-")</f>
        <v/>
      </c>
      <c r="AL16" s="75" t="n">
        <v>4</v>
      </c>
      <c r="AM16" s="74" t="n">
        <v>48</v>
      </c>
      <c r="AN16" s="74">
        <f>IFERROR(IF(AM16&gt;0,AL16/AM16,"-"),"-")</f>
        <v/>
      </c>
      <c r="AO16" s="75" t="n">
        <v>3</v>
      </c>
      <c r="AP16" s="74" t="n">
        <v>62</v>
      </c>
      <c r="AQ16" s="74">
        <f>IFERROR(IF(AP16&gt;0,AO16/AP16,"-"),"-")</f>
        <v/>
      </c>
      <c r="AR16" s="75" t="n">
        <v>6</v>
      </c>
      <c r="AS16" s="60" t="n"/>
      <c r="AT16" s="60" t="n"/>
    </row>
    <row r="17" ht="15" customHeight="1">
      <c r="A17" s="70" t="n">
        <v>10</v>
      </c>
      <c r="B17" s="71" t="inlineStr">
        <is>
          <t>Bel Collections</t>
        </is>
      </c>
      <c r="C17" s="70" t="inlineStr">
        <is>
          <t>B00003</t>
        </is>
      </c>
      <c r="D17" s="71" t="inlineStr">
        <is>
          <t>Amber Bel oud</t>
        </is>
      </c>
      <c r="E17" s="70" t="n"/>
      <c r="F17" s="72">
        <f>SUM(I17:AP17)</f>
        <v/>
      </c>
      <c r="G17" s="72">
        <f>SUM(J17:AQ17)</f>
        <v/>
      </c>
      <c r="H17" s="73">
        <f>IFERROR(IF(G17&gt;0,F17/G17,"-"),"-")</f>
        <v/>
      </c>
      <c r="I17" s="74" t="n">
        <v>1</v>
      </c>
      <c r="J17" s="74">
        <f>IFERROR(IF(I17&gt;0,H17/I17,"-"),"-")</f>
        <v/>
      </c>
      <c r="K17" s="75" t="n"/>
      <c r="L17" s="74" t="n">
        <v>1</v>
      </c>
      <c r="M17" s="74">
        <f>IFERROR(IF(L17&gt;0,K17/L17,"-"),"-")</f>
        <v/>
      </c>
      <c r="N17" s="75" t="n">
        <v>1</v>
      </c>
      <c r="O17" s="74" t="n">
        <v>1</v>
      </c>
      <c r="P17" s="74">
        <f>IFERROR(IF(O17&gt;0,N17/O17,"-"),"-")</f>
        <v/>
      </c>
      <c r="Q17" s="75" t="n">
        <v>1</v>
      </c>
      <c r="R17" s="74" t="n">
        <v>5</v>
      </c>
      <c r="S17" s="74">
        <f>IFERROR(IF(R17&gt;0,Q17/R17,"-"),"-")</f>
        <v/>
      </c>
      <c r="T17" s="75" t="n"/>
      <c r="U17" s="74" t="n"/>
      <c r="V17" s="74">
        <f>IFERROR(IF(U17&gt;0,T17/U17,"-"),"-")</f>
        <v/>
      </c>
      <c r="W17" s="75" t="n"/>
      <c r="X17" s="74" t="n">
        <v>3</v>
      </c>
      <c r="Y17" s="74">
        <f>IFERROR(IF(X17&gt;0,W17/X17,"-"),"-")</f>
        <v/>
      </c>
      <c r="Z17" s="75" t="n">
        <v>2</v>
      </c>
      <c r="AA17" s="74" t="n">
        <v>6</v>
      </c>
      <c r="AB17" s="74">
        <f>IFERROR(IF(AA17&gt;0,Z17/AA17,"-"),"-")</f>
        <v/>
      </c>
      <c r="AC17" s="75" t="n">
        <v>2</v>
      </c>
      <c r="AD17" s="74" t="n"/>
      <c r="AE17" s="74">
        <f>IFERROR(IF(AD17&gt;0,AC17/AD17,"-"),"-")</f>
        <v/>
      </c>
      <c r="AF17" s="75" t="n"/>
      <c r="AG17" s="74" t="n"/>
      <c r="AH17" s="74">
        <f>IFERROR(IF(AG17&gt;0,AF17/AG17,"-"),"-")</f>
        <v/>
      </c>
      <c r="AI17" s="75" t="n"/>
      <c r="AJ17" s="74" t="n">
        <v>65</v>
      </c>
      <c r="AK17" s="74">
        <f>IFERROR(IF(AJ17&gt;0,AI17/AJ17,"-"),"-")</f>
        <v/>
      </c>
      <c r="AL17" s="75" t="n">
        <v>1</v>
      </c>
      <c r="AM17" s="74" t="n"/>
      <c r="AN17" s="74">
        <f>IFERROR(IF(AM17&gt;0,AL17/AM17,"-"),"-")</f>
        <v/>
      </c>
      <c r="AO17" s="75" t="n"/>
      <c r="AP17" s="74" t="n">
        <v>1</v>
      </c>
      <c r="AQ17" s="74">
        <f>IFERROR(IF(AP17&gt;0,AO17/AP17,"-"),"-")</f>
        <v/>
      </c>
      <c r="AR17" s="75" t="n"/>
      <c r="AS17" s="60" t="n"/>
      <c r="AT17" s="60" t="n"/>
    </row>
    <row r="18" ht="15" customHeight="1">
      <c r="A18" s="70" t="n">
        <v>11</v>
      </c>
      <c r="B18" s="71" t="inlineStr">
        <is>
          <t>Bel Collections</t>
        </is>
      </c>
      <c r="C18" s="70" t="inlineStr">
        <is>
          <t>B00004</t>
        </is>
      </c>
      <c r="D18" s="71" t="inlineStr">
        <is>
          <t>Meydan</t>
        </is>
      </c>
      <c r="E18" s="70" t="n">
        <v>1</v>
      </c>
      <c r="F18" s="72">
        <f>SUM(I18:AP18)</f>
        <v/>
      </c>
      <c r="G18" s="72">
        <f>SUM(J18:AQ18)</f>
        <v/>
      </c>
      <c r="H18" s="73">
        <f>IFERROR(IF(G18&gt;0,F18/G18,"-"),"-")</f>
        <v/>
      </c>
      <c r="I18" s="74" t="n">
        <v>1</v>
      </c>
      <c r="J18" s="74">
        <f>IFERROR(IF(I18&gt;0,H18/I18,"-"),"-")</f>
        <v/>
      </c>
      <c r="K18" s="75" t="n"/>
      <c r="L18" s="74" t="n">
        <v>5</v>
      </c>
      <c r="M18" s="74">
        <f>IFERROR(IF(L18&gt;0,K18/L18,"-"),"-")</f>
        <v/>
      </c>
      <c r="N18" s="75" t="n">
        <v>2</v>
      </c>
      <c r="O18" s="74" t="n">
        <v>1</v>
      </c>
      <c r="P18" s="74">
        <f>IFERROR(IF(O18&gt;0,N18/O18,"-"),"-")</f>
        <v/>
      </c>
      <c r="Q18" s="75" t="n">
        <v>3</v>
      </c>
      <c r="R18" s="74" t="n">
        <v>9</v>
      </c>
      <c r="S18" s="74">
        <f>IFERROR(IF(R18&gt;0,Q18/R18,"-"),"-")</f>
        <v/>
      </c>
      <c r="T18" s="75" t="n"/>
      <c r="U18" s="74" t="n">
        <v>3</v>
      </c>
      <c r="V18" s="74">
        <f>IFERROR(IF(U18&gt;0,T18/U18,"-"),"-")</f>
        <v/>
      </c>
      <c r="W18" s="75" t="n">
        <v>1</v>
      </c>
      <c r="X18" s="74" t="n">
        <v>1</v>
      </c>
      <c r="Y18" s="74">
        <f>IFERROR(IF(X18&gt;0,W18/X18,"-"),"-")</f>
        <v/>
      </c>
      <c r="Z18" s="75" t="n">
        <v>3</v>
      </c>
      <c r="AA18" s="74" t="n">
        <v>7</v>
      </c>
      <c r="AB18" s="74">
        <f>IFERROR(IF(AA18&gt;0,Z18/AA18,"-"),"-")</f>
        <v/>
      </c>
      <c r="AC18" s="75" t="n">
        <v>1</v>
      </c>
      <c r="AD18" s="74" t="n"/>
      <c r="AE18" s="74">
        <f>IFERROR(IF(AD18&gt;0,AC18/AD18,"-"),"-")</f>
        <v/>
      </c>
      <c r="AF18" s="75" t="n"/>
      <c r="AG18" s="74" t="n"/>
      <c r="AH18" s="74">
        <f>IFERROR(IF(AG18&gt;0,AF18/AG18,"-"),"-")</f>
        <v/>
      </c>
      <c r="AI18" s="75" t="n">
        <v>2</v>
      </c>
      <c r="AJ18" s="74" t="n">
        <v>1</v>
      </c>
      <c r="AK18" s="74">
        <f>IFERROR(IF(AJ18&gt;0,AI18/AJ18,"-"),"-")</f>
        <v/>
      </c>
      <c r="AL18" s="75" t="n">
        <v>1</v>
      </c>
      <c r="AM18" s="74" t="n">
        <v>3</v>
      </c>
      <c r="AN18" s="74">
        <f>IFERROR(IF(AM18&gt;0,AL18/AM18,"-"),"-")</f>
        <v/>
      </c>
      <c r="AO18" s="75" t="n">
        <v>1</v>
      </c>
      <c r="AP18" s="74" t="n">
        <v>1</v>
      </c>
      <c r="AQ18" s="74">
        <f>IFERROR(IF(AP18&gt;0,AO18/AP18,"-"),"-")</f>
        <v/>
      </c>
      <c r="AR18" s="75" t="n">
        <v>1</v>
      </c>
      <c r="AS18" s="60" t="n"/>
      <c r="AT18" s="60" t="n"/>
    </row>
    <row r="19" ht="15" customHeight="1">
      <c r="A19" s="70" t="n">
        <v>12</v>
      </c>
      <c r="B19" s="71" t="inlineStr">
        <is>
          <t>Bel Collections</t>
        </is>
      </c>
      <c r="C19" s="70" t="inlineStr">
        <is>
          <t>B00005</t>
        </is>
      </c>
      <c r="D19" s="71" t="inlineStr">
        <is>
          <t>Mystery</t>
        </is>
      </c>
      <c r="E19" s="70" t="n">
        <v>9</v>
      </c>
      <c r="F19" s="72">
        <f>SUM(I19:AP19)</f>
        <v/>
      </c>
      <c r="G19" s="72">
        <f>SUM(J19:AQ19)</f>
        <v/>
      </c>
      <c r="H19" s="73">
        <f>IFERROR(IF(G19&gt;0,F19/G19,"-"),"-")</f>
        <v/>
      </c>
      <c r="I19" s="74" t="n">
        <v>44</v>
      </c>
      <c r="J19" s="74">
        <f>IFERROR(IF(I19&gt;0,H19/I19,"-"),"-")</f>
        <v/>
      </c>
      <c r="K19" s="75" t="n">
        <v>8</v>
      </c>
      <c r="L19" s="74" t="n">
        <v>86</v>
      </c>
      <c r="M19" s="74">
        <f>IFERROR(IF(L19&gt;0,K19/L19,"-"),"-")</f>
        <v/>
      </c>
      <c r="N19" s="75" t="n">
        <v>5</v>
      </c>
      <c r="O19" s="74" t="n">
        <v>23</v>
      </c>
      <c r="P19" s="74">
        <f>IFERROR(IF(O19&gt;0,N19/O19,"-"),"-")</f>
        <v/>
      </c>
      <c r="Q19" s="75" t="n">
        <v>3</v>
      </c>
      <c r="R19" s="74" t="n">
        <v>71</v>
      </c>
      <c r="S19" s="74">
        <f>IFERROR(IF(R19&gt;0,Q19/R19,"-"),"-")</f>
        <v/>
      </c>
      <c r="T19" s="75" t="n">
        <v>3</v>
      </c>
      <c r="U19" s="74" t="n">
        <v>65</v>
      </c>
      <c r="V19" s="74">
        <f>IFERROR(IF(U19&gt;0,T19/U19,"-"),"-")</f>
        <v/>
      </c>
      <c r="W19" s="75" t="n">
        <v>11</v>
      </c>
      <c r="X19" s="74" t="n">
        <v>76</v>
      </c>
      <c r="Y19" s="74">
        <f>IFERROR(IF(X19&gt;0,W19/X19,"-"),"-")</f>
        <v/>
      </c>
      <c r="Z19" s="75" t="n">
        <v>17</v>
      </c>
      <c r="AA19" s="74" t="n">
        <v>127</v>
      </c>
      <c r="AB19" s="74">
        <f>IFERROR(IF(AA19&gt;0,Z19/AA19,"-"),"-")</f>
        <v/>
      </c>
      <c r="AC19" s="75" t="n">
        <v>9</v>
      </c>
      <c r="AD19" s="74" t="n"/>
      <c r="AE19" s="74">
        <f>IFERROR(IF(AD19&gt;0,AC19/AD19,"-"),"-")</f>
        <v/>
      </c>
      <c r="AF19" s="75" t="n"/>
      <c r="AG19" s="74" t="n"/>
      <c r="AH19" s="74">
        <f>IFERROR(IF(AG19&gt;0,AF19/AG19,"-"),"-")</f>
        <v/>
      </c>
      <c r="AI19" s="75" t="n">
        <v>3</v>
      </c>
      <c r="AJ19" s="74" t="n">
        <v>72</v>
      </c>
      <c r="AK19" s="74">
        <f>IFERROR(IF(AJ19&gt;0,AI19/AJ19,"-"),"-")</f>
        <v/>
      </c>
      <c r="AL19" s="75" t="n">
        <v>2</v>
      </c>
      <c r="AM19" s="74" t="n">
        <v>35</v>
      </c>
      <c r="AN19" s="74">
        <f>IFERROR(IF(AM19&gt;0,AL19/AM19,"-"),"-")</f>
        <v/>
      </c>
      <c r="AO19" s="75" t="n">
        <v>3</v>
      </c>
      <c r="AP19" s="74" t="n">
        <v>45</v>
      </c>
      <c r="AQ19" s="74">
        <f>IFERROR(IF(AP19&gt;0,AO19/AP19,"-"),"-")</f>
        <v/>
      </c>
      <c r="AR19" s="75" t="n">
        <v>7</v>
      </c>
      <c r="AS19" s="60" t="n"/>
      <c r="AT19" s="60" t="n"/>
    </row>
    <row r="20" ht="15" customHeight="1">
      <c r="A20" s="70" t="n">
        <v>13</v>
      </c>
      <c r="B20" s="71" t="inlineStr">
        <is>
          <t>Bel Collections</t>
        </is>
      </c>
      <c r="C20" s="70" t="inlineStr">
        <is>
          <t>B00006</t>
        </is>
      </c>
      <c r="D20" s="71" t="inlineStr">
        <is>
          <t>Mersal</t>
        </is>
      </c>
      <c r="E20" s="70" t="n">
        <v>1</v>
      </c>
      <c r="F20" s="72">
        <f>SUM(I20:AP20)</f>
        <v/>
      </c>
      <c r="G20" s="72">
        <f>SUM(J20:AQ20)</f>
        <v/>
      </c>
      <c r="H20" s="73">
        <f>IFERROR(IF(G20&gt;0,F20/G20,"-"),"-")</f>
        <v/>
      </c>
      <c r="I20" s="74" t="n">
        <v>4</v>
      </c>
      <c r="J20" s="74">
        <f>IFERROR(IF(I20&gt;0,H20/I20,"-"),"-")</f>
        <v/>
      </c>
      <c r="K20" s="75" t="n">
        <v>1</v>
      </c>
      <c r="L20" s="74" t="n">
        <v>3</v>
      </c>
      <c r="M20" s="74">
        <f>IFERROR(IF(L20&gt;0,K20/L20,"-"),"-")</f>
        <v/>
      </c>
      <c r="N20" s="75" t="n">
        <v>1</v>
      </c>
      <c r="O20" s="74" t="n">
        <v>1</v>
      </c>
      <c r="P20" s="74">
        <f>IFERROR(IF(O20&gt;0,N20/O20,"-"),"-")</f>
        <v/>
      </c>
      <c r="Q20" s="75" t="n"/>
      <c r="R20" s="74" t="n">
        <v>8</v>
      </c>
      <c r="S20" s="74">
        <f>IFERROR(IF(R20&gt;0,Q20/R20,"-"),"-")</f>
        <v/>
      </c>
      <c r="T20" s="75" t="n"/>
      <c r="U20" s="74" t="n">
        <v>4</v>
      </c>
      <c r="V20" s="74">
        <f>IFERROR(IF(U20&gt;0,T20/U20,"-"),"-")</f>
        <v/>
      </c>
      <c r="W20" s="75" t="n"/>
      <c r="X20" s="74" t="n">
        <v>7</v>
      </c>
      <c r="Y20" s="74">
        <f>IFERROR(IF(X20&gt;0,W20/X20,"-"),"-")</f>
        <v/>
      </c>
      <c r="Z20" s="75" t="n">
        <v>1</v>
      </c>
      <c r="AA20" s="74" t="n">
        <v>6</v>
      </c>
      <c r="AB20" s="74">
        <f>IFERROR(IF(AA20&gt;0,Z20/AA20,"-"),"-")</f>
        <v/>
      </c>
      <c r="AC20" s="75" t="n">
        <v>1</v>
      </c>
      <c r="AD20" s="74" t="n"/>
      <c r="AE20" s="74">
        <f>IFERROR(IF(AD20&gt;0,AC20/AD20,"-"),"-")</f>
        <v/>
      </c>
      <c r="AF20" s="75" t="n"/>
      <c r="AG20" s="74" t="n"/>
      <c r="AH20" s="74">
        <f>IFERROR(IF(AG20&gt;0,AF20/AG20,"-"),"-")</f>
        <v/>
      </c>
      <c r="AI20" s="75" t="n">
        <v>1</v>
      </c>
      <c r="AJ20" s="74" t="n">
        <v>3</v>
      </c>
      <c r="AK20" s="74">
        <f>IFERROR(IF(AJ20&gt;0,AI20/AJ20,"-"),"-")</f>
        <v/>
      </c>
      <c r="AL20" s="75" t="n"/>
      <c r="AM20" s="74" t="n"/>
      <c r="AN20" s="74">
        <f>IFERROR(IF(AM20&gt;0,AL20/AM20,"-"),"-")</f>
        <v/>
      </c>
      <c r="AO20" s="75" t="n">
        <v>2</v>
      </c>
      <c r="AP20" s="74" t="n">
        <v>2</v>
      </c>
      <c r="AQ20" s="74">
        <f>IFERROR(IF(AP20&gt;0,AO20/AP20,"-"),"-")</f>
        <v/>
      </c>
      <c r="AR20" s="75" t="n"/>
      <c r="AS20" s="60" t="n"/>
      <c r="AT20" s="60" t="n"/>
    </row>
    <row r="21" ht="15" customHeight="1">
      <c r="A21" s="70" t="n">
        <v>14</v>
      </c>
      <c r="B21" s="71" t="inlineStr">
        <is>
          <t>Bel Collections</t>
        </is>
      </c>
      <c r="C21" s="70" t="inlineStr">
        <is>
          <t>B00007</t>
        </is>
      </c>
      <c r="D21" s="71" t="inlineStr">
        <is>
          <t>Peaceful Life</t>
        </is>
      </c>
      <c r="E21" s="70" t="n">
        <v>4</v>
      </c>
      <c r="F21" s="72">
        <f>SUM(I21:AP21)</f>
        <v/>
      </c>
      <c r="G21" s="72">
        <f>SUM(J21:AQ21)</f>
        <v/>
      </c>
      <c r="H21" s="73">
        <f>IFERROR(IF(G21&gt;0,F21/G21,"-"),"-")</f>
        <v/>
      </c>
      <c r="I21" s="74" t="n">
        <v>4</v>
      </c>
      <c r="J21" s="74">
        <f>IFERROR(IF(I21&gt;0,H21/I21,"-"),"-")</f>
        <v/>
      </c>
      <c r="K21" s="75" t="n">
        <v>2</v>
      </c>
      <c r="L21" s="74" t="n">
        <v>18</v>
      </c>
      <c r="M21" s="74">
        <f>IFERROR(IF(L21&gt;0,K21/L21,"-"),"-")</f>
        <v/>
      </c>
      <c r="N21" s="75" t="n">
        <v>2</v>
      </c>
      <c r="O21" s="74" t="n">
        <v>7</v>
      </c>
      <c r="P21" s="74">
        <f>IFERROR(IF(O21&gt;0,N21/O21,"-"),"-")</f>
        <v/>
      </c>
      <c r="Q21" s="75" t="n">
        <v>1</v>
      </c>
      <c r="R21" s="74" t="n">
        <v>24</v>
      </c>
      <c r="S21" s="74">
        <f>IFERROR(IF(R21&gt;0,Q21/R21,"-"),"-")</f>
        <v/>
      </c>
      <c r="T21" s="75" t="n">
        <v>1</v>
      </c>
      <c r="U21" s="74" t="n">
        <v>14</v>
      </c>
      <c r="V21" s="74">
        <f>IFERROR(IF(U21&gt;0,T21/U21,"-"),"-")</f>
        <v/>
      </c>
      <c r="W21" s="75" t="n">
        <v>4</v>
      </c>
      <c r="X21" s="74" t="n">
        <v>16</v>
      </c>
      <c r="Y21" s="74">
        <f>IFERROR(IF(X21&gt;0,W21/X21,"-"),"-")</f>
        <v/>
      </c>
      <c r="Z21" s="75" t="n">
        <v>2</v>
      </c>
      <c r="AA21" s="74" t="n">
        <v>29</v>
      </c>
      <c r="AB21" s="74">
        <f>IFERROR(IF(AA21&gt;0,Z21/AA21,"-"),"-")</f>
        <v/>
      </c>
      <c r="AC21" s="75" t="n">
        <v>4</v>
      </c>
      <c r="AD21" s="74" t="n"/>
      <c r="AE21" s="74">
        <f>IFERROR(IF(AD21&gt;0,AC21/AD21,"-"),"-")</f>
        <v/>
      </c>
      <c r="AF21" s="75" t="n"/>
      <c r="AG21" s="74" t="n"/>
      <c r="AH21" s="74">
        <f>IFERROR(IF(AG21&gt;0,AF21/AG21,"-"),"-")</f>
        <v/>
      </c>
      <c r="AI21" s="75" t="n">
        <v>1</v>
      </c>
      <c r="AJ21" s="74" t="n">
        <v>21</v>
      </c>
      <c r="AK21" s="74">
        <f>IFERROR(IF(AJ21&gt;0,AI21/AJ21,"-"),"-")</f>
        <v/>
      </c>
      <c r="AL21" s="75" t="n">
        <v>1</v>
      </c>
      <c r="AM21" s="74" t="n">
        <v>10</v>
      </c>
      <c r="AN21" s="74">
        <f>IFERROR(IF(AM21&gt;0,AL21/AM21,"-"),"-")</f>
        <v/>
      </c>
      <c r="AO21" s="75" t="n">
        <v>3</v>
      </c>
      <c r="AP21" s="74" t="n">
        <v>12</v>
      </c>
      <c r="AQ21" s="74">
        <f>IFERROR(IF(AP21&gt;0,AO21/AP21,"-"),"-")</f>
        <v/>
      </c>
      <c r="AR21" s="75" t="n">
        <v>3</v>
      </c>
      <c r="AS21" s="60" t="n"/>
      <c r="AT21" s="60" t="n"/>
    </row>
    <row r="22" ht="15" customHeight="1">
      <c r="A22" s="70" t="n">
        <v>15</v>
      </c>
      <c r="B22" s="71" t="inlineStr">
        <is>
          <t>Bel Collections</t>
        </is>
      </c>
      <c r="C22" s="70" t="inlineStr">
        <is>
          <t>B00008</t>
        </is>
      </c>
      <c r="D22" s="71" t="inlineStr">
        <is>
          <t>Midnight Glow</t>
        </is>
      </c>
      <c r="E22" s="70" t="n">
        <v>8</v>
      </c>
      <c r="F22" s="72">
        <f>SUM(I22:AP22)</f>
        <v/>
      </c>
      <c r="G22" s="72">
        <f>SUM(J22:AQ22)</f>
        <v/>
      </c>
      <c r="H22" s="73">
        <f>IFERROR(IF(G22&gt;0,F22/G22,"-"),"-")</f>
        <v/>
      </c>
      <c r="I22" s="74" t="n">
        <v>14</v>
      </c>
      <c r="J22" s="74">
        <f>IFERROR(IF(I22&gt;0,H22/I22,"-"),"-")</f>
        <v/>
      </c>
      <c r="K22" s="75" t="n">
        <v>5</v>
      </c>
      <c r="L22" s="74" t="n">
        <v>57</v>
      </c>
      <c r="M22" s="74">
        <f>IFERROR(IF(L22&gt;0,K22/L22,"-"),"-")</f>
        <v/>
      </c>
      <c r="N22" s="75" t="n">
        <v>4</v>
      </c>
      <c r="O22" s="74" t="n">
        <v>15</v>
      </c>
      <c r="P22" s="74">
        <f>IFERROR(IF(O22&gt;0,N22/O22,"-"),"-")</f>
        <v/>
      </c>
      <c r="Q22" s="75" t="n">
        <v>3</v>
      </c>
      <c r="R22" s="74" t="n">
        <v>23</v>
      </c>
      <c r="S22" s="74">
        <f>IFERROR(IF(R22&gt;0,Q22/R22,"-"),"-")</f>
        <v/>
      </c>
      <c r="T22" s="75" t="n">
        <v>3</v>
      </c>
      <c r="U22" s="74" t="n">
        <v>22</v>
      </c>
      <c r="V22" s="74">
        <f>IFERROR(IF(U22&gt;0,T22/U22,"-"),"-")</f>
        <v/>
      </c>
      <c r="W22" s="75" t="n">
        <v>4</v>
      </c>
      <c r="X22" s="74" t="n">
        <v>31</v>
      </c>
      <c r="Y22" s="74">
        <f>IFERROR(IF(X22&gt;0,W22/X22,"-"),"-")</f>
        <v/>
      </c>
      <c r="Z22" s="75" t="n">
        <v>10</v>
      </c>
      <c r="AA22" s="74" t="n">
        <v>51</v>
      </c>
      <c r="AB22" s="74">
        <f>IFERROR(IF(AA22&gt;0,Z22/AA22,"-"),"-")</f>
        <v/>
      </c>
      <c r="AC22" s="75" t="n">
        <v>4</v>
      </c>
      <c r="AD22" s="74" t="n"/>
      <c r="AE22" s="74">
        <f>IFERROR(IF(AD22&gt;0,AC22/AD22,"-"),"-")</f>
        <v/>
      </c>
      <c r="AF22" s="75" t="n"/>
      <c r="AG22" s="74" t="n"/>
      <c r="AH22" s="74">
        <f>IFERROR(IF(AG22&gt;0,AF22/AG22,"-"),"-")</f>
        <v/>
      </c>
      <c r="AI22" s="75" t="n">
        <v>4</v>
      </c>
      <c r="AJ22" s="74" t="n">
        <v>26</v>
      </c>
      <c r="AK22" s="74">
        <f>IFERROR(IF(AJ22&gt;0,AI22/AJ22,"-"),"-")</f>
        <v/>
      </c>
      <c r="AL22" s="75" t="n"/>
      <c r="AM22" s="74" t="n">
        <v>8</v>
      </c>
      <c r="AN22" s="74">
        <f>IFERROR(IF(AM22&gt;0,AL22/AM22,"-"),"-")</f>
        <v/>
      </c>
      <c r="AO22" s="75" t="n">
        <v>2</v>
      </c>
      <c r="AP22" s="74" t="n">
        <v>8</v>
      </c>
      <c r="AQ22" s="74">
        <f>IFERROR(IF(AP22&gt;0,AO22/AP22,"-"),"-")</f>
        <v/>
      </c>
      <c r="AR22" s="75" t="n">
        <v>4</v>
      </c>
      <c r="AS22" s="60" t="n"/>
      <c r="AT22" s="60" t="n"/>
    </row>
    <row r="23" ht="15" customHeight="1">
      <c r="A23" s="70" t="n">
        <v>16</v>
      </c>
      <c r="B23" s="71" t="inlineStr">
        <is>
          <t>Bel Collections</t>
        </is>
      </c>
      <c r="C23" s="70" t="inlineStr">
        <is>
          <t>B00010</t>
        </is>
      </c>
      <c r="D23" s="71" t="inlineStr">
        <is>
          <t>Sakura</t>
        </is>
      </c>
      <c r="E23" s="70" t="n">
        <v>5</v>
      </c>
      <c r="F23" s="72">
        <f>SUM(I23:AP23)</f>
        <v/>
      </c>
      <c r="G23" s="72">
        <f>SUM(J23:AQ23)</f>
        <v/>
      </c>
      <c r="H23" s="73">
        <f>IFERROR(IF(G23&gt;0,F23/G23,"-"),"-")</f>
        <v/>
      </c>
      <c r="I23" s="74" t="n">
        <v>7</v>
      </c>
      <c r="J23" s="74">
        <f>IFERROR(IF(I23&gt;0,H23/I23,"-"),"-")</f>
        <v/>
      </c>
      <c r="K23" s="75" t="n">
        <v>5</v>
      </c>
      <c r="L23" s="74" t="n">
        <v>30</v>
      </c>
      <c r="M23" s="74">
        <f>IFERROR(IF(L23&gt;0,K23/L23,"-"),"-")</f>
        <v/>
      </c>
      <c r="N23" s="75" t="n">
        <v>5</v>
      </c>
      <c r="O23" s="74" t="n">
        <v>5</v>
      </c>
      <c r="P23" s="74">
        <f>IFERROR(IF(O23&gt;0,N23/O23,"-"),"-")</f>
        <v/>
      </c>
      <c r="Q23" s="75" t="n">
        <v>2</v>
      </c>
      <c r="R23" s="74" t="n">
        <v>21</v>
      </c>
      <c r="S23" s="74">
        <f>IFERROR(IF(R23&gt;0,Q23/R23,"-"),"-")</f>
        <v/>
      </c>
      <c r="T23" s="75" t="n">
        <v>3</v>
      </c>
      <c r="U23" s="74" t="n">
        <v>26</v>
      </c>
      <c r="V23" s="74">
        <f>IFERROR(IF(U23&gt;0,T23/U23,"-"),"-")</f>
        <v/>
      </c>
      <c r="W23" s="75" t="n">
        <v>7</v>
      </c>
      <c r="X23" s="74" t="n">
        <v>39</v>
      </c>
      <c r="Y23" s="74">
        <f>IFERROR(IF(X23&gt;0,W23/X23,"-"),"-")</f>
        <v/>
      </c>
      <c r="Z23" s="75" t="n">
        <v>9</v>
      </c>
      <c r="AA23" s="74" t="n">
        <v>32</v>
      </c>
      <c r="AB23" s="74">
        <f>IFERROR(IF(AA23&gt;0,Z23/AA23,"-"),"-")</f>
        <v/>
      </c>
      <c r="AC23" s="75" t="n">
        <v>8</v>
      </c>
      <c r="AD23" s="74" t="n"/>
      <c r="AE23" s="74">
        <f>IFERROR(IF(AD23&gt;0,AC23/AD23,"-"),"-")</f>
        <v/>
      </c>
      <c r="AF23" s="75" t="n"/>
      <c r="AG23" s="74" t="n"/>
      <c r="AH23" s="74">
        <f>IFERROR(IF(AG23&gt;0,AF23/AG23,"-"),"-")</f>
        <v/>
      </c>
      <c r="AI23" s="75" t="n">
        <v>3</v>
      </c>
      <c r="AJ23" s="74" t="n">
        <v>59</v>
      </c>
      <c r="AK23" s="74">
        <f>IFERROR(IF(AJ23&gt;0,AI23/AJ23,"-"),"-")</f>
        <v/>
      </c>
      <c r="AL23" s="75" t="n">
        <v>1</v>
      </c>
      <c r="AM23" s="74" t="n">
        <v>29</v>
      </c>
      <c r="AN23" s="74">
        <f>IFERROR(IF(AM23&gt;0,AL23/AM23,"-"),"-")</f>
        <v/>
      </c>
      <c r="AO23" s="75" t="n">
        <v>1</v>
      </c>
      <c r="AP23" s="74" t="n">
        <v>37</v>
      </c>
      <c r="AQ23" s="74">
        <f>IFERROR(IF(AP23&gt;0,AO23/AP23,"-"),"-")</f>
        <v/>
      </c>
      <c r="AR23" s="75" t="n">
        <v>2</v>
      </c>
      <c r="AS23" s="60" t="n"/>
      <c r="AT23" s="60" t="n"/>
    </row>
    <row r="24" ht="15" customHeight="1">
      <c r="A24" s="70" t="n">
        <v>17</v>
      </c>
      <c r="B24" s="71" t="inlineStr">
        <is>
          <t>Bel Collections</t>
        </is>
      </c>
      <c r="C24" s="70" t="inlineStr">
        <is>
          <t>B00012</t>
        </is>
      </c>
      <c r="D24" s="71" t="inlineStr">
        <is>
          <t>Ambergris</t>
        </is>
      </c>
      <c r="E24" s="70" t="n">
        <v>5</v>
      </c>
      <c r="F24" s="72">
        <f>SUM(I24:AP24)</f>
        <v/>
      </c>
      <c r="G24" s="72">
        <f>SUM(J24:AQ24)</f>
        <v/>
      </c>
      <c r="H24" s="73">
        <f>IFERROR(IF(G24&gt;0,F24/G24,"-"),"-")</f>
        <v/>
      </c>
      <c r="I24" s="74" t="n">
        <v>39</v>
      </c>
      <c r="J24" s="74">
        <f>IFERROR(IF(I24&gt;0,H24/I24,"-"),"-")</f>
        <v/>
      </c>
      <c r="K24" s="75" t="n">
        <v>2</v>
      </c>
      <c r="L24" s="74" t="n">
        <v>18</v>
      </c>
      <c r="M24" s="74">
        <f>IFERROR(IF(L24&gt;0,K24/L24,"-"),"-")</f>
        <v/>
      </c>
      <c r="N24" s="75" t="n">
        <v>2</v>
      </c>
      <c r="O24" s="74" t="n">
        <v>10</v>
      </c>
      <c r="P24" s="74">
        <f>IFERROR(IF(O24&gt;0,N24/O24,"-"),"-")</f>
        <v/>
      </c>
      <c r="Q24" s="75" t="n">
        <v>2</v>
      </c>
      <c r="R24" s="74" t="n">
        <v>63</v>
      </c>
      <c r="S24" s="74">
        <f>IFERROR(IF(R24&gt;0,Q24/R24,"-"),"-")</f>
        <v/>
      </c>
      <c r="T24" s="75" t="n">
        <v>2</v>
      </c>
      <c r="U24" s="74" t="n">
        <v>12</v>
      </c>
      <c r="V24" s="74">
        <f>IFERROR(IF(U24&gt;0,T24/U24,"-"),"-")</f>
        <v/>
      </c>
      <c r="W24" s="75" t="n">
        <v>3</v>
      </c>
      <c r="X24" s="74" t="n">
        <v>23</v>
      </c>
      <c r="Y24" s="74">
        <f>IFERROR(IF(X24&gt;0,W24/X24,"-"),"-")</f>
        <v/>
      </c>
      <c r="Z24" s="75" t="n">
        <v>6</v>
      </c>
      <c r="AA24" s="74" t="n">
        <v>44</v>
      </c>
      <c r="AB24" s="74">
        <f>IFERROR(IF(AA24&gt;0,Z24/AA24,"-"),"-")</f>
        <v/>
      </c>
      <c r="AC24" s="75" t="n">
        <v>4</v>
      </c>
      <c r="AD24" s="74" t="n"/>
      <c r="AE24" s="74">
        <f>IFERROR(IF(AD24&gt;0,AC24/AD24,"-"),"-")</f>
        <v/>
      </c>
      <c r="AF24" s="75" t="n"/>
      <c r="AG24" s="74" t="n"/>
      <c r="AH24" s="74">
        <f>IFERROR(IF(AG24&gt;0,AF24/AG24,"-"),"-")</f>
        <v/>
      </c>
      <c r="AI24" s="75" t="n">
        <v>2</v>
      </c>
      <c r="AJ24" s="74" t="n">
        <v>55</v>
      </c>
      <c r="AK24" s="74">
        <f>IFERROR(IF(AJ24&gt;0,AI24/AJ24,"-"),"-")</f>
        <v/>
      </c>
      <c r="AL24" s="75" t="n">
        <v>2</v>
      </c>
      <c r="AM24" s="74" t="n">
        <v>32</v>
      </c>
      <c r="AN24" s="74">
        <f>IFERROR(IF(AM24&gt;0,AL24/AM24,"-"),"-")</f>
        <v/>
      </c>
      <c r="AO24" s="75" t="n">
        <v>2</v>
      </c>
      <c r="AP24" s="74" t="n">
        <v>41</v>
      </c>
      <c r="AQ24" s="74">
        <f>IFERROR(IF(AP24&gt;0,AO24/AP24,"-"),"-")</f>
        <v/>
      </c>
      <c r="AR24" s="75" t="n">
        <v>3</v>
      </c>
      <c r="AS24" s="60" t="n"/>
      <c r="AT24" s="60" t="n"/>
    </row>
    <row r="25" ht="15" customHeight="1">
      <c r="A25" s="70" t="n">
        <v>18</v>
      </c>
      <c r="B25" s="71" t="inlineStr">
        <is>
          <t>Bel Collections</t>
        </is>
      </c>
      <c r="C25" s="70" t="inlineStr">
        <is>
          <t>B00015</t>
        </is>
      </c>
      <c r="D25" s="71" t="inlineStr">
        <is>
          <t>Hidden Leather</t>
        </is>
      </c>
      <c r="E25" s="70" t="n">
        <v>10</v>
      </c>
      <c r="F25" s="72">
        <f>SUM(I25:AP25)</f>
        <v/>
      </c>
      <c r="G25" s="72">
        <f>SUM(J25:AQ25)</f>
        <v/>
      </c>
      <c r="H25" s="73">
        <f>IFERROR(IF(G25&gt;0,F25/G25,"-"),"-")</f>
        <v/>
      </c>
      <c r="I25" s="74" t="n">
        <v>45</v>
      </c>
      <c r="J25" s="74">
        <f>IFERROR(IF(I25&gt;0,H25/I25,"-"),"-")</f>
        <v/>
      </c>
      <c r="K25" s="75" t="n">
        <v>9</v>
      </c>
      <c r="L25" s="74" t="n">
        <v>90</v>
      </c>
      <c r="M25" s="74">
        <f>IFERROR(IF(L25&gt;0,K25/L25,"-"),"-")</f>
        <v/>
      </c>
      <c r="N25" s="75" t="n">
        <v>8</v>
      </c>
      <c r="O25" s="74" t="n">
        <v>35</v>
      </c>
      <c r="P25" s="74">
        <f>IFERROR(IF(O25&gt;0,N25/O25,"-"),"-")</f>
        <v/>
      </c>
      <c r="Q25" s="75" t="n">
        <v>10</v>
      </c>
      <c r="R25" s="74" t="n">
        <v>73</v>
      </c>
      <c r="S25" s="74">
        <f>IFERROR(IF(R25&gt;0,Q25/R25,"-"),"-")</f>
        <v/>
      </c>
      <c r="T25" s="75" t="n">
        <v>5</v>
      </c>
      <c r="U25" s="74" t="n">
        <v>91</v>
      </c>
      <c r="V25" s="74">
        <f>IFERROR(IF(U25&gt;0,T25/U25,"-"),"-")</f>
        <v/>
      </c>
      <c r="W25" s="75" t="n">
        <v>15</v>
      </c>
      <c r="X25" s="74" t="n">
        <v>112</v>
      </c>
      <c r="Y25" s="74">
        <f>IFERROR(IF(X25&gt;0,W25/X25,"-"),"-")</f>
        <v/>
      </c>
      <c r="Z25" s="75" t="n">
        <v>17</v>
      </c>
      <c r="AA25" s="74" t="n">
        <v>136</v>
      </c>
      <c r="AB25" s="74">
        <f>IFERROR(IF(AA25&gt;0,Z25/AA25,"-"),"-")</f>
        <v/>
      </c>
      <c r="AC25" s="75" t="n">
        <v>19</v>
      </c>
      <c r="AD25" s="74" t="n"/>
      <c r="AE25" s="74">
        <f>IFERROR(IF(AD25&gt;0,AC25/AD25,"-"),"-")</f>
        <v/>
      </c>
      <c r="AF25" s="75" t="n"/>
      <c r="AG25" s="74" t="n"/>
      <c r="AH25" s="74">
        <f>IFERROR(IF(AG25&gt;0,AF25/AG25,"-"),"-")</f>
        <v/>
      </c>
      <c r="AI25" s="75" t="n">
        <v>8</v>
      </c>
      <c r="AJ25" s="74" t="n">
        <v>68</v>
      </c>
      <c r="AK25" s="74">
        <f>IFERROR(IF(AJ25&gt;0,AI25/AJ25,"-"),"-")</f>
        <v/>
      </c>
      <c r="AL25" s="75" t="n">
        <v>6</v>
      </c>
      <c r="AM25" s="74" t="n">
        <v>38</v>
      </c>
      <c r="AN25" s="74">
        <f>IFERROR(IF(AM25&gt;0,AL25/AM25,"-"),"-")</f>
        <v/>
      </c>
      <c r="AO25" s="75" t="n">
        <v>6</v>
      </c>
      <c r="AP25" s="74" t="n">
        <v>48</v>
      </c>
      <c r="AQ25" s="74">
        <f>IFERROR(IF(AP25&gt;0,AO25/AP25,"-"),"-")</f>
        <v/>
      </c>
      <c r="AR25" s="75" t="n">
        <v>11</v>
      </c>
      <c r="AS25" s="60" t="n"/>
      <c r="AT25" s="60" t="n"/>
    </row>
    <row r="26" ht="15" customHeight="1">
      <c r="A26" s="70" t="n">
        <v>19</v>
      </c>
      <c r="B26" s="71" t="inlineStr">
        <is>
          <t>Bel Collections</t>
        </is>
      </c>
      <c r="C26" s="70" t="inlineStr">
        <is>
          <t>B00016</t>
        </is>
      </c>
      <c r="D26" s="71" t="inlineStr">
        <is>
          <t>Mysterious Rose</t>
        </is>
      </c>
      <c r="E26" s="70" t="n"/>
      <c r="F26" s="72">
        <f>SUM(I26:AP26)</f>
        <v/>
      </c>
      <c r="G26" s="72">
        <f>SUM(J26:AQ26)</f>
        <v/>
      </c>
      <c r="H26" s="73">
        <f>IFERROR(IF(G26&gt;0,F26/G26,"-"),"-")</f>
        <v/>
      </c>
      <c r="I26" s="74" t="n"/>
      <c r="J26" s="74">
        <f>IFERROR(IF(I26&gt;0,H26/I26,"-"),"-")</f>
        <v/>
      </c>
      <c r="K26" s="75" t="n"/>
      <c r="L26" s="74" t="n"/>
      <c r="M26" s="74">
        <f>IFERROR(IF(L26&gt;0,K26/L26,"-"),"-")</f>
        <v/>
      </c>
      <c r="N26" s="75" t="n"/>
      <c r="O26" s="74" t="n"/>
      <c r="P26" s="74">
        <f>IFERROR(IF(O26&gt;0,N26/O26,"-"),"-")</f>
        <v/>
      </c>
      <c r="Q26" s="75" t="n">
        <v>1</v>
      </c>
      <c r="R26" s="74" t="n"/>
      <c r="S26" s="74">
        <f>IFERROR(IF(R26&gt;0,Q26/R26,"-"),"-")</f>
        <v/>
      </c>
      <c r="T26" s="75" t="n"/>
      <c r="U26" s="74" t="n"/>
      <c r="V26" s="74">
        <f>IFERROR(IF(U26&gt;0,T26/U26,"-"),"-")</f>
        <v/>
      </c>
      <c r="W26" s="75" t="n"/>
      <c r="X26" s="74" t="n"/>
      <c r="Y26" s="74">
        <f>IFERROR(IF(X26&gt;0,W26/X26,"-"),"-")</f>
        <v/>
      </c>
      <c r="Z26" s="75" t="n"/>
      <c r="AA26" s="74" t="n"/>
      <c r="AB26" s="74">
        <f>IFERROR(IF(AA26&gt;0,Z26/AA26,"-"),"-")</f>
        <v/>
      </c>
      <c r="AC26" s="75" t="n"/>
      <c r="AD26" s="74" t="n"/>
      <c r="AE26" s="74">
        <f>IFERROR(IF(AD26&gt;0,AC26/AD26,"-"),"-")</f>
        <v/>
      </c>
      <c r="AF26" s="75" t="n"/>
      <c r="AG26" s="74" t="n"/>
      <c r="AH26" s="74">
        <f>IFERROR(IF(AG26&gt;0,AF26/AG26,"-"),"-")</f>
        <v/>
      </c>
      <c r="AI26" s="75" t="n"/>
      <c r="AJ26" s="74" t="n"/>
      <c r="AK26" s="74">
        <f>IFERROR(IF(AJ26&gt;0,AI26/AJ26,"-"),"-")</f>
        <v/>
      </c>
      <c r="AL26" s="75" t="n"/>
      <c r="AM26" s="74" t="n"/>
      <c r="AN26" s="74">
        <f>IFERROR(IF(AM26&gt;0,AL26/AM26,"-"),"-")</f>
        <v/>
      </c>
      <c r="AO26" s="75" t="n"/>
      <c r="AP26" s="74" t="n"/>
      <c r="AQ26" s="74">
        <f>IFERROR(IF(AP26&gt;0,AO26/AP26,"-"),"-")</f>
        <v/>
      </c>
      <c r="AR26" s="75" t="n"/>
      <c r="AS26" s="60" t="n"/>
      <c r="AT26" s="60" t="n"/>
    </row>
    <row r="27" ht="15" customHeight="1">
      <c r="A27" s="70" t="n">
        <v>20</v>
      </c>
      <c r="B27" s="71" t="inlineStr">
        <is>
          <t>Bel Collections</t>
        </is>
      </c>
      <c r="C27" s="70" t="inlineStr">
        <is>
          <t>B00017</t>
        </is>
      </c>
      <c r="D27" s="71" t="inlineStr">
        <is>
          <t>Thekrayat</t>
        </is>
      </c>
      <c r="E27" s="70" t="n">
        <v>1</v>
      </c>
      <c r="F27" s="72">
        <f>SUM(I27:AP27)</f>
        <v/>
      </c>
      <c r="G27" s="72">
        <f>SUM(J27:AQ27)</f>
        <v/>
      </c>
      <c r="H27" s="73">
        <f>IFERROR(IF(G27&gt;0,F27/G27,"-"),"-")</f>
        <v/>
      </c>
      <c r="I27" s="74" t="n"/>
      <c r="J27" s="74">
        <f>IFERROR(IF(I27&gt;0,H27/I27,"-"),"-")</f>
        <v/>
      </c>
      <c r="K27" s="75" t="n"/>
      <c r="L27" s="74" t="n"/>
      <c r="M27" s="74">
        <f>IFERROR(IF(L27&gt;0,K27/L27,"-"),"-")</f>
        <v/>
      </c>
      <c r="N27" s="75" t="n"/>
      <c r="O27" s="74" t="n"/>
      <c r="P27" s="74">
        <f>IFERROR(IF(O27&gt;0,N27/O27,"-"),"-")</f>
        <v/>
      </c>
      <c r="Q27" s="75" t="n">
        <v>1</v>
      </c>
      <c r="R27" s="74" t="n"/>
      <c r="S27" s="74">
        <f>IFERROR(IF(R27&gt;0,Q27/R27,"-"),"-")</f>
        <v/>
      </c>
      <c r="T27" s="75" t="n"/>
      <c r="U27" s="74" t="n"/>
      <c r="V27" s="74">
        <f>IFERROR(IF(U27&gt;0,T27/U27,"-"),"-")</f>
        <v/>
      </c>
      <c r="W27" s="75" t="n">
        <v>1</v>
      </c>
      <c r="X27" s="74" t="n"/>
      <c r="Y27" s="74">
        <f>IFERROR(IF(X27&gt;0,W27/X27,"-"),"-")</f>
        <v/>
      </c>
      <c r="Z27" s="75" t="n">
        <v>2</v>
      </c>
      <c r="AA27" s="74" t="n"/>
      <c r="AB27" s="74">
        <f>IFERROR(IF(AA27&gt;0,Z27/AA27,"-"),"-")</f>
        <v/>
      </c>
      <c r="AC27" s="75" t="n"/>
      <c r="AD27" s="74" t="n"/>
      <c r="AE27" s="74">
        <f>IFERROR(IF(AD27&gt;0,AC27/AD27,"-"),"-")</f>
        <v/>
      </c>
      <c r="AF27" s="75" t="n"/>
      <c r="AG27" s="74" t="n"/>
      <c r="AH27" s="74">
        <f>IFERROR(IF(AG27&gt;0,AF27/AG27,"-"),"-")</f>
        <v/>
      </c>
      <c r="AI27" s="75" t="n"/>
      <c r="AJ27" s="74" t="n"/>
      <c r="AK27" s="74">
        <f>IFERROR(IF(AJ27&gt;0,AI27/AJ27,"-"),"-")</f>
        <v/>
      </c>
      <c r="AL27" s="75" t="n"/>
      <c r="AM27" s="74" t="n"/>
      <c r="AN27" s="74">
        <f>IFERROR(IF(AM27&gt;0,AL27/AM27,"-"),"-")</f>
        <v/>
      </c>
      <c r="AO27" s="75" t="n"/>
      <c r="AP27" s="74" t="n"/>
      <c r="AQ27" s="74">
        <f>IFERROR(IF(AP27&gt;0,AO27/AP27,"-"),"-")</f>
        <v/>
      </c>
      <c r="AR27" s="75" t="n">
        <v>1</v>
      </c>
      <c r="AS27" s="60" t="n"/>
      <c r="AT27" s="60" t="n"/>
    </row>
    <row r="28" ht="15" customHeight="1">
      <c r="A28" s="70" t="n">
        <v>21</v>
      </c>
      <c r="B28" s="71" t="inlineStr">
        <is>
          <t>Bel Collections</t>
        </is>
      </c>
      <c r="C28" s="70" t="inlineStr">
        <is>
          <t>B00018</t>
        </is>
      </c>
      <c r="D28" s="71" t="inlineStr">
        <is>
          <t>Hidden Tobacco</t>
        </is>
      </c>
      <c r="E28" s="70" t="n"/>
      <c r="F28" s="72">
        <f>SUM(I28:AP28)</f>
        <v/>
      </c>
      <c r="G28" s="72">
        <f>SUM(J28:AQ28)</f>
        <v/>
      </c>
      <c r="H28" s="73">
        <f>IFERROR(IF(G28&gt;0,F28/G28,"-"),"-")</f>
        <v/>
      </c>
      <c r="I28" s="74" t="n">
        <v>52</v>
      </c>
      <c r="J28" s="74">
        <f>IFERROR(IF(I28&gt;0,H28/I28,"-"),"-")</f>
        <v/>
      </c>
      <c r="K28" s="75" t="n"/>
      <c r="L28" s="74" t="n">
        <v>101</v>
      </c>
      <c r="M28" s="74">
        <f>IFERROR(IF(L28&gt;0,K28/L28,"-"),"-")</f>
        <v/>
      </c>
      <c r="N28" s="75" t="n"/>
      <c r="O28" s="74" t="n">
        <v>27</v>
      </c>
      <c r="P28" s="74">
        <f>IFERROR(IF(O28&gt;0,N28/O28,"-"),"-")</f>
        <v/>
      </c>
      <c r="Q28" s="75" t="n"/>
      <c r="R28" s="74" t="n">
        <v>85</v>
      </c>
      <c r="S28" s="74">
        <f>IFERROR(IF(R28&gt;0,Q28/R28,"-"),"-")</f>
        <v/>
      </c>
      <c r="T28" s="75" t="n"/>
      <c r="U28" s="74" t="n">
        <v>77</v>
      </c>
      <c r="V28" s="74">
        <f>IFERROR(IF(U28&gt;0,T28/U28,"-"),"-")</f>
        <v/>
      </c>
      <c r="W28" s="75" t="n"/>
      <c r="X28" s="74" t="n">
        <v>90</v>
      </c>
      <c r="Y28" s="74">
        <f>IFERROR(IF(X28&gt;0,W28/X28,"-"),"-")</f>
        <v/>
      </c>
      <c r="Z28" s="75" t="n"/>
      <c r="AA28" s="74" t="n">
        <v>150</v>
      </c>
      <c r="AB28" s="74">
        <f>IFERROR(IF(AA28&gt;0,Z28/AA28,"-"),"-")</f>
        <v/>
      </c>
      <c r="AC28" s="75" t="n"/>
      <c r="AD28" s="74" t="n"/>
      <c r="AE28" s="74">
        <f>IFERROR(IF(AD28&gt;0,AC28/AD28,"-"),"-")</f>
        <v/>
      </c>
      <c r="AF28" s="75" t="n"/>
      <c r="AG28" s="74" t="n"/>
      <c r="AH28" s="74">
        <f>IFERROR(IF(AG28&gt;0,AF28/AG28,"-"),"-")</f>
        <v/>
      </c>
      <c r="AI28" s="75" t="n"/>
      <c r="AJ28" s="74" t="n">
        <v>86</v>
      </c>
      <c r="AK28" s="74">
        <f>IFERROR(IF(AJ28&gt;0,AI28/AJ28,"-"),"-")</f>
        <v/>
      </c>
      <c r="AL28" s="75" t="n"/>
      <c r="AM28" s="74" t="n">
        <v>42</v>
      </c>
      <c r="AN28" s="74">
        <f>IFERROR(IF(AM28&gt;0,AL28/AM28,"-"),"-")</f>
        <v/>
      </c>
      <c r="AO28" s="75" t="n"/>
      <c r="AP28" s="74" t="n">
        <v>54</v>
      </c>
      <c r="AQ28" s="74">
        <f>IFERROR(IF(AP28&gt;0,AO28/AP28,"-"),"-")</f>
        <v/>
      </c>
      <c r="AR28" s="75" t="n"/>
      <c r="AS28" s="60" t="n"/>
      <c r="AT28" s="60" t="n"/>
    </row>
    <row r="29" ht="15" customHeight="1">
      <c r="A29" s="70" t="n">
        <v>22</v>
      </c>
      <c r="B29" s="71" t="inlineStr">
        <is>
          <t>Bel Collections</t>
        </is>
      </c>
      <c r="C29" s="70" t="inlineStr">
        <is>
          <t>B00019</t>
        </is>
      </c>
      <c r="D29" s="71" t="inlineStr">
        <is>
          <t>Masters Perfume 100ml</t>
        </is>
      </c>
      <c r="E29" s="70" t="n">
        <v>1</v>
      </c>
      <c r="F29" s="72">
        <f>SUM(I29:AP29)</f>
        <v/>
      </c>
      <c r="G29" s="72">
        <f>SUM(J29:AQ29)</f>
        <v/>
      </c>
      <c r="H29" s="73">
        <f>IFERROR(IF(G29&gt;0,F29/G29,"-"),"-")</f>
        <v/>
      </c>
      <c r="I29" s="74" t="n">
        <v>34</v>
      </c>
      <c r="J29" s="74">
        <f>IFERROR(IF(I29&gt;0,H29/I29,"-"),"-")</f>
        <v/>
      </c>
      <c r="K29" s="75" t="n">
        <v>2</v>
      </c>
      <c r="L29" s="74" t="n">
        <v>37</v>
      </c>
      <c r="M29" s="74">
        <f>IFERROR(IF(L29&gt;0,K29/L29,"-"),"-")</f>
        <v/>
      </c>
      <c r="N29" s="75" t="n">
        <v>3</v>
      </c>
      <c r="O29" s="74" t="n">
        <v>6</v>
      </c>
      <c r="P29" s="74">
        <f>IFERROR(IF(O29&gt;0,N29/O29,"-"),"-")</f>
        <v/>
      </c>
      <c r="Q29" s="75" t="n">
        <v>1</v>
      </c>
      <c r="R29" s="74" t="n">
        <v>56</v>
      </c>
      <c r="S29" s="74">
        <f>IFERROR(IF(R29&gt;0,Q29/R29,"-"),"-")</f>
        <v/>
      </c>
      <c r="T29" s="75" t="n">
        <v>1</v>
      </c>
      <c r="U29" s="74" t="n">
        <v>14</v>
      </c>
      <c r="V29" s="74">
        <f>IFERROR(IF(U29&gt;0,T29/U29,"-"),"-")</f>
        <v/>
      </c>
      <c r="W29" s="75" t="n">
        <v>1</v>
      </c>
      <c r="X29" s="74" t="n">
        <v>16</v>
      </c>
      <c r="Y29" s="74">
        <f>IFERROR(IF(X29&gt;0,W29/X29,"-"),"-")</f>
        <v/>
      </c>
      <c r="Z29" s="75" t="n">
        <v>5</v>
      </c>
      <c r="AA29" s="74" t="n">
        <v>32</v>
      </c>
      <c r="AB29" s="74">
        <f>IFERROR(IF(AA29&gt;0,Z29/AA29,"-"),"-")</f>
        <v/>
      </c>
      <c r="AC29" s="75" t="n">
        <v>1</v>
      </c>
      <c r="AD29" s="74" t="n"/>
      <c r="AE29" s="74">
        <f>IFERROR(IF(AD29&gt;0,AC29/AD29,"-"),"-")</f>
        <v/>
      </c>
      <c r="AF29" s="75" t="n"/>
      <c r="AG29" s="74" t="n"/>
      <c r="AH29" s="74">
        <f>IFERROR(IF(AG29&gt;0,AF29/AG29,"-"),"-")</f>
        <v/>
      </c>
      <c r="AI29" s="75" t="n">
        <v>1</v>
      </c>
      <c r="AJ29" s="74" t="n">
        <v>62</v>
      </c>
      <c r="AK29" s="74">
        <f>IFERROR(IF(AJ29&gt;0,AI29/AJ29,"-"),"-")</f>
        <v/>
      </c>
      <c r="AL29" s="75" t="n">
        <v>1</v>
      </c>
      <c r="AM29" s="74" t="n">
        <v>28</v>
      </c>
      <c r="AN29" s="74">
        <f>IFERROR(IF(AM29&gt;0,AL29/AM29,"-"),"-")</f>
        <v/>
      </c>
      <c r="AO29" s="75" t="n"/>
      <c r="AP29" s="74" t="n">
        <v>35</v>
      </c>
      <c r="AQ29" s="74">
        <f>IFERROR(IF(AP29&gt;0,AO29/AP29,"-"),"-")</f>
        <v/>
      </c>
      <c r="AR29" s="75" t="n">
        <v>3</v>
      </c>
      <c r="AS29" s="60" t="n"/>
      <c r="AT29" s="60" t="n"/>
    </row>
    <row r="30" ht="15" customHeight="1">
      <c r="A30" s="70" t="n">
        <v>23</v>
      </c>
      <c r="B30" s="71" t="inlineStr">
        <is>
          <t>Bel Collections</t>
        </is>
      </c>
      <c r="C30" s="70" t="inlineStr">
        <is>
          <t>B00020</t>
        </is>
      </c>
      <c r="D30" s="71" t="inlineStr">
        <is>
          <t>Masters Signature 100ml Perfume - Tester</t>
        </is>
      </c>
      <c r="E30" s="70" t="n">
        <v>4</v>
      </c>
      <c r="F30" s="72">
        <f>SUM(I30:AP30)</f>
        <v/>
      </c>
      <c r="G30" s="72">
        <f>SUM(J30:AQ30)</f>
        <v/>
      </c>
      <c r="H30" s="73">
        <f>IFERROR(IF(G30&gt;0,F30/G30,"-"),"-")</f>
        <v/>
      </c>
      <c r="I30" s="74" t="n">
        <v>1</v>
      </c>
      <c r="J30" s="74">
        <f>IFERROR(IF(I30&gt;0,H30/I30,"-"),"-")</f>
        <v/>
      </c>
      <c r="K30" s="75" t="n">
        <v>1</v>
      </c>
      <c r="L30" s="74" t="n">
        <v>8</v>
      </c>
      <c r="M30" s="74">
        <f>IFERROR(IF(L30&gt;0,K30/L30,"-"),"-")</f>
        <v/>
      </c>
      <c r="N30" s="75" t="n">
        <v>2</v>
      </c>
      <c r="O30" s="74" t="n">
        <v>6</v>
      </c>
      <c r="P30" s="74">
        <f>IFERROR(IF(O30&gt;0,N30/O30,"-"),"-")</f>
        <v/>
      </c>
      <c r="Q30" s="75" t="n">
        <v>1</v>
      </c>
      <c r="R30" s="74" t="n">
        <v>6</v>
      </c>
      <c r="S30" s="74">
        <f>IFERROR(IF(R30&gt;0,Q30/R30,"-"),"-")</f>
        <v/>
      </c>
      <c r="T30" s="75" t="n"/>
      <c r="U30" s="74" t="n">
        <v>7</v>
      </c>
      <c r="V30" s="74">
        <f>IFERROR(IF(U30&gt;0,T30/U30,"-"),"-")</f>
        <v/>
      </c>
      <c r="W30" s="75" t="n">
        <v>1</v>
      </c>
      <c r="X30" s="74" t="n">
        <v>4</v>
      </c>
      <c r="Y30" s="74">
        <f>IFERROR(IF(X30&gt;0,W30/X30,"-"),"-")</f>
        <v/>
      </c>
      <c r="Z30" s="75" t="n">
        <v>3</v>
      </c>
      <c r="AA30" s="74" t="n">
        <v>9</v>
      </c>
      <c r="AB30" s="74">
        <f>IFERROR(IF(AA30&gt;0,Z30/AA30,"-"),"-")</f>
        <v/>
      </c>
      <c r="AC30" s="75" t="n">
        <v>1</v>
      </c>
      <c r="AD30" s="74" t="n"/>
      <c r="AE30" s="74">
        <f>IFERROR(IF(AD30&gt;0,AC30/AD30,"-"),"-")</f>
        <v/>
      </c>
      <c r="AF30" s="75" t="n"/>
      <c r="AG30" s="74" t="n"/>
      <c r="AH30" s="74">
        <f>IFERROR(IF(AG30&gt;0,AF30/AG30,"-"),"-")</f>
        <v/>
      </c>
      <c r="AI30" s="75" t="n"/>
      <c r="AJ30" s="74" t="n">
        <v>7</v>
      </c>
      <c r="AK30" s="74">
        <f>IFERROR(IF(AJ30&gt;0,AI30/AJ30,"-"),"-")</f>
        <v/>
      </c>
      <c r="AL30" s="75" t="n"/>
      <c r="AM30" s="74" t="n"/>
      <c r="AN30" s="74">
        <f>IFERROR(IF(AM30&gt;0,AL30/AM30,"-"),"-")</f>
        <v/>
      </c>
      <c r="AO30" s="75" t="n"/>
      <c r="AP30" s="74" t="n">
        <v>4</v>
      </c>
      <c r="AQ30" s="74">
        <f>IFERROR(IF(AP30&gt;0,AO30/AP30,"-"),"-")</f>
        <v/>
      </c>
      <c r="AR30" s="75" t="n">
        <v>2</v>
      </c>
      <c r="AS30" s="60" t="n"/>
      <c r="AT30" s="60" t="n"/>
    </row>
    <row r="31" ht="15" customHeight="1">
      <c r="A31" s="70" t="n">
        <v>24</v>
      </c>
      <c r="B31" s="71" t="inlineStr">
        <is>
          <t>Bel Collections</t>
        </is>
      </c>
      <c r="C31" s="70" t="inlineStr">
        <is>
          <t>B00021</t>
        </is>
      </c>
      <c r="D31" s="71" t="inlineStr">
        <is>
          <t>Midnight Bloom 100 ML</t>
        </is>
      </c>
      <c r="E31" s="70" t="n"/>
      <c r="F31" s="72">
        <f>SUM(I31:AP31)</f>
        <v/>
      </c>
      <c r="G31" s="72">
        <f>SUM(J31:AQ31)</f>
        <v/>
      </c>
      <c r="H31" s="73">
        <f>IFERROR(IF(G31&gt;0,F31/G31,"-"),"-")</f>
        <v/>
      </c>
      <c r="I31" s="74" t="n">
        <v>4</v>
      </c>
      <c r="J31" s="74">
        <f>IFERROR(IF(I31&gt;0,H31/I31,"-"),"-")</f>
        <v/>
      </c>
      <c r="K31" s="75" t="n"/>
      <c r="L31" s="74" t="n">
        <v>3</v>
      </c>
      <c r="M31" s="74">
        <f>IFERROR(IF(L31&gt;0,K31/L31,"-"),"-")</f>
        <v/>
      </c>
      <c r="N31" s="75" t="n">
        <v>1</v>
      </c>
      <c r="O31" s="74" t="n">
        <v>1</v>
      </c>
      <c r="P31" s="74">
        <f>IFERROR(IF(O31&gt;0,N31/O31,"-"),"-")</f>
        <v/>
      </c>
      <c r="Q31" s="75" t="n"/>
      <c r="R31" s="74" t="n">
        <v>1</v>
      </c>
      <c r="S31" s="74">
        <f>IFERROR(IF(R31&gt;0,Q31/R31,"-"),"-")</f>
        <v/>
      </c>
      <c r="T31" s="75" t="n"/>
      <c r="U31" s="74" t="n">
        <v>3</v>
      </c>
      <c r="V31" s="74">
        <f>IFERROR(IF(U31&gt;0,T31/U31,"-"),"-")</f>
        <v/>
      </c>
      <c r="W31" s="75" t="n"/>
      <c r="X31" s="74" t="n">
        <v>1</v>
      </c>
      <c r="Y31" s="74">
        <f>IFERROR(IF(X31&gt;0,W31/X31,"-"),"-")</f>
        <v/>
      </c>
      <c r="Z31" s="75" t="n"/>
      <c r="AA31" s="74" t="n">
        <v>4</v>
      </c>
      <c r="AB31" s="74">
        <f>IFERROR(IF(AA31&gt;0,Z31/AA31,"-"),"-")</f>
        <v/>
      </c>
      <c r="AC31" s="75" t="n"/>
      <c r="AD31" s="74" t="n"/>
      <c r="AE31" s="74">
        <f>IFERROR(IF(AD31&gt;0,AC31/AD31,"-"),"-")</f>
        <v/>
      </c>
      <c r="AF31" s="75" t="n"/>
      <c r="AG31" s="74" t="n"/>
      <c r="AH31" s="74">
        <f>IFERROR(IF(AG31&gt;0,AF31/AG31,"-"),"-")</f>
        <v/>
      </c>
      <c r="AI31" s="75" t="n"/>
      <c r="AJ31" s="74" t="n">
        <v>2</v>
      </c>
      <c r="AK31" s="74">
        <f>IFERROR(IF(AJ31&gt;0,AI31/AJ31,"-"),"-")</f>
        <v/>
      </c>
      <c r="AL31" s="75" t="n"/>
      <c r="AM31" s="74" t="n"/>
      <c r="AN31" s="74">
        <f>IFERROR(IF(AM31&gt;0,AL31/AM31,"-"),"-")</f>
        <v/>
      </c>
      <c r="AO31" s="75" t="n"/>
      <c r="AP31" s="74" t="n"/>
      <c r="AQ31" s="74">
        <f>IFERROR(IF(AP31&gt;0,AO31/AP31,"-"),"-")</f>
        <v/>
      </c>
      <c r="AR31" s="75" t="n"/>
      <c r="AS31" s="60" t="n"/>
      <c r="AT31" s="60" t="n"/>
    </row>
    <row r="32" ht="15" customHeight="1">
      <c r="A32" s="76" t="inlineStr">
        <is>
          <t xml:space="preserve">  CABALLO COLLECTION</t>
        </is>
      </c>
      <c r="B32" s="77" t="n"/>
      <c r="C32" s="77" t="n"/>
      <c r="D32" s="77" t="n"/>
      <c r="E32" s="77" t="n">
        <v>2</v>
      </c>
      <c r="F32" s="72">
        <f>SUM(I32:AP32)</f>
        <v/>
      </c>
      <c r="G32" s="72">
        <f>SUM(J32:AQ32)</f>
        <v/>
      </c>
      <c r="H32" s="73">
        <f>IFERROR(IF(G32&gt;0,F32/G32,"-"),"-")</f>
        <v/>
      </c>
      <c r="I32" s="74" t="n">
        <v>1</v>
      </c>
      <c r="J32" s="74">
        <f>IFERROR(IF(I32&gt;0,H32/I32,"-"),"-")</f>
        <v/>
      </c>
      <c r="K32" s="75" t="n"/>
      <c r="L32" s="74" t="n">
        <v>8</v>
      </c>
      <c r="M32" s="74">
        <f>IFERROR(IF(L32&gt;0,K32/L32,"-"),"-")</f>
        <v/>
      </c>
      <c r="N32" s="75" t="n">
        <v>5</v>
      </c>
      <c r="O32" s="74" t="n">
        <v>4</v>
      </c>
      <c r="P32" s="74">
        <f>IFERROR(IF(O32&gt;0,N32/O32,"-"),"-")</f>
        <v/>
      </c>
      <c r="Q32" s="75" t="n"/>
      <c r="R32" s="74" t="n">
        <v>5</v>
      </c>
      <c r="S32" s="74">
        <f>IFERROR(IF(R32&gt;0,Q32/R32,"-"),"-")</f>
        <v/>
      </c>
      <c r="T32" s="75" t="n"/>
      <c r="U32" s="74" t="n">
        <v>3</v>
      </c>
      <c r="V32" s="74">
        <f>IFERROR(IF(U32&gt;0,T32/U32,"-"),"-")</f>
        <v/>
      </c>
      <c r="W32" s="75" t="n">
        <v>1</v>
      </c>
      <c r="X32" s="74" t="n">
        <v>5</v>
      </c>
      <c r="Y32" s="74">
        <f>IFERROR(IF(X32&gt;0,W32/X32,"-"),"-")</f>
        <v/>
      </c>
      <c r="Z32" s="75" t="n"/>
      <c r="AA32" s="74" t="n">
        <v>2</v>
      </c>
      <c r="AB32" s="74">
        <f>IFERROR(IF(AA32&gt;0,Z32/AA32,"-"),"-")</f>
        <v/>
      </c>
      <c r="AC32" s="75" t="n">
        <v>1</v>
      </c>
      <c r="AD32" s="74" t="n"/>
      <c r="AE32" s="74">
        <f>IFERROR(IF(AD32&gt;0,AC32/AD32,"-"),"-")</f>
        <v/>
      </c>
      <c r="AF32" s="75" t="n"/>
      <c r="AG32" s="74" t="n"/>
      <c r="AH32" s="74">
        <f>IFERROR(IF(AG32&gt;0,AF32/AG32,"-"),"-")</f>
        <v/>
      </c>
      <c r="AI32" s="75" t="n">
        <v>2</v>
      </c>
      <c r="AJ32" s="74" t="n">
        <v>4</v>
      </c>
      <c r="AK32" s="74">
        <f>IFERROR(IF(AJ32&gt;0,AI32/AJ32,"-"),"-")</f>
        <v/>
      </c>
      <c r="AL32" s="75" t="n"/>
      <c r="AM32" s="74" t="n">
        <v>2</v>
      </c>
      <c r="AN32" s="74">
        <f>IFERROR(IF(AM32&gt;0,AL32/AM32,"-"),"-")</f>
        <v/>
      </c>
      <c r="AO32" s="75" t="n">
        <v>1</v>
      </c>
      <c r="AP32" s="74" t="n">
        <v>2</v>
      </c>
      <c r="AQ32" s="74">
        <f>IFERROR(IF(AP32&gt;0,AO32/AP32,"-"),"-")</f>
        <v/>
      </c>
      <c r="AR32" s="75" t="n">
        <v>1</v>
      </c>
      <c r="AS32" s="59" t="n"/>
      <c r="AT32" s="59" t="n"/>
    </row>
    <row r="33" ht="15" customHeight="1">
      <c r="A33" s="70" t="n">
        <v>25</v>
      </c>
      <c r="B33" s="71" t="inlineStr">
        <is>
          <t>Caballo Collection</t>
        </is>
      </c>
      <c r="C33" s="70" t="inlineStr">
        <is>
          <t>C00004</t>
        </is>
      </c>
      <c r="D33" s="71" t="inlineStr">
        <is>
          <t>Maroon Perfume 100 ML</t>
        </is>
      </c>
      <c r="E33" s="70" t="n">
        <v>2</v>
      </c>
      <c r="F33" s="72">
        <f>SUM(I33:AP33)</f>
        <v/>
      </c>
      <c r="G33" s="72">
        <f>SUM(J33:AQ33)</f>
        <v/>
      </c>
      <c r="H33" s="73">
        <f>IFERROR(IF(G33&gt;0,F33/G33,"-"),"-")</f>
        <v/>
      </c>
      <c r="I33" s="74" t="n">
        <v>1</v>
      </c>
      <c r="J33" s="74">
        <f>IFERROR(IF(I33&gt;0,H33/I33,"-"),"-")</f>
        <v/>
      </c>
      <c r="K33" s="75" t="n">
        <v>3</v>
      </c>
      <c r="L33" s="74" t="n">
        <v>14</v>
      </c>
      <c r="M33" s="74">
        <f>IFERROR(IF(L33&gt;0,K33/L33,"-"),"-")</f>
        <v/>
      </c>
      <c r="N33" s="75" t="n">
        <v>4</v>
      </c>
      <c r="O33" s="74" t="n">
        <v>10</v>
      </c>
      <c r="P33" s="74">
        <f>IFERROR(IF(O33&gt;0,N33/O33,"-"),"-")</f>
        <v/>
      </c>
      <c r="Q33" s="75" t="n">
        <v>3</v>
      </c>
      <c r="R33" s="74" t="n">
        <v>16</v>
      </c>
      <c r="S33" s="74">
        <f>IFERROR(IF(R33&gt;0,Q33/R33,"-"),"-")</f>
        <v/>
      </c>
      <c r="T33" s="75" t="n">
        <v>2</v>
      </c>
      <c r="U33" s="74" t="n">
        <v>14</v>
      </c>
      <c r="V33" s="74">
        <f>IFERROR(IF(U33&gt;0,T33/U33,"-"),"-")</f>
        <v/>
      </c>
      <c r="W33" s="75" t="n">
        <v>5</v>
      </c>
      <c r="X33" s="74" t="n">
        <v>22</v>
      </c>
      <c r="Y33" s="74">
        <f>IFERROR(IF(X33&gt;0,W33/X33,"-"),"-")</f>
        <v/>
      </c>
      <c r="Z33" s="75" t="n">
        <v>7</v>
      </c>
      <c r="AA33" s="74" t="n">
        <v>37</v>
      </c>
      <c r="AB33" s="74">
        <f>IFERROR(IF(AA33&gt;0,Z33/AA33,"-"),"-")</f>
        <v/>
      </c>
      <c r="AC33" s="75" t="n">
        <v>5</v>
      </c>
      <c r="AD33" s="74" t="n"/>
      <c r="AE33" s="74">
        <f>IFERROR(IF(AD33&gt;0,AC33/AD33,"-"),"-")</f>
        <v/>
      </c>
      <c r="AF33" s="75" t="n"/>
      <c r="AG33" s="74" t="n"/>
      <c r="AH33" s="74">
        <f>IFERROR(IF(AG33&gt;0,AF33/AG33,"-"),"-")</f>
        <v/>
      </c>
      <c r="AI33" s="75" t="n">
        <v>4</v>
      </c>
      <c r="AJ33" s="74" t="n">
        <v>11</v>
      </c>
      <c r="AK33" s="74">
        <f>IFERROR(IF(AJ33&gt;0,AI33/AJ33,"-"),"-")</f>
        <v/>
      </c>
      <c r="AL33" s="75" t="n">
        <v>1</v>
      </c>
      <c r="AM33" s="74" t="n">
        <v>11</v>
      </c>
      <c r="AN33" s="74">
        <f>IFERROR(IF(AM33&gt;0,AL33/AM33,"-"),"-")</f>
        <v/>
      </c>
      <c r="AO33" s="75" t="n">
        <v>2</v>
      </c>
      <c r="AP33" s="74" t="n">
        <v>5</v>
      </c>
      <c r="AQ33" s="74">
        <f>IFERROR(IF(AP33&gt;0,AO33/AP33,"-"),"-")</f>
        <v/>
      </c>
      <c r="AR33" s="75" t="n">
        <v>2</v>
      </c>
      <c r="AS33" s="60" t="n"/>
      <c r="AT33" s="60" t="n"/>
    </row>
    <row r="34" ht="15" customHeight="1">
      <c r="A34" s="70" t="n">
        <v>26</v>
      </c>
      <c r="B34" s="71" t="inlineStr">
        <is>
          <t>Caballo Collection</t>
        </is>
      </c>
      <c r="C34" s="70" t="inlineStr">
        <is>
          <t>C00010</t>
        </is>
      </c>
      <c r="D34" s="71" t="inlineStr">
        <is>
          <t>Maroon Intense</t>
        </is>
      </c>
      <c r="E34" s="70" t="n"/>
      <c r="F34" s="72">
        <f>SUM(I34:AP34)</f>
        <v/>
      </c>
      <c r="G34" s="72">
        <f>SUM(J34:AQ34)</f>
        <v/>
      </c>
      <c r="H34" s="73">
        <f>IFERROR(IF(G34&gt;0,F34/G34,"-"),"-")</f>
        <v/>
      </c>
      <c r="I34" s="74" t="n">
        <v>1</v>
      </c>
      <c r="J34" s="74">
        <f>IFERROR(IF(I34&gt;0,H34/I34,"-"),"-")</f>
        <v/>
      </c>
      <c r="K34" s="75" t="n"/>
      <c r="L34" s="74" t="n"/>
      <c r="M34" s="74">
        <f>IFERROR(IF(L34&gt;0,K34/L34,"-"),"-")</f>
        <v/>
      </c>
      <c r="N34" s="75" t="n"/>
      <c r="O34" s="74" t="n"/>
      <c r="P34" s="74">
        <f>IFERROR(IF(O34&gt;0,N34/O34,"-"),"-")</f>
        <v/>
      </c>
      <c r="Q34" s="75" t="n"/>
      <c r="R34" s="74" t="n">
        <v>1</v>
      </c>
      <c r="S34" s="74">
        <f>IFERROR(IF(R34&gt;0,Q34/R34,"-"),"-")</f>
        <v/>
      </c>
      <c r="T34" s="75" t="n"/>
      <c r="U34" s="74" t="n">
        <v>2</v>
      </c>
      <c r="V34" s="74">
        <f>IFERROR(IF(U34&gt;0,T34/U34,"-"),"-")</f>
        <v/>
      </c>
      <c r="W34" s="75" t="n"/>
      <c r="X34" s="74" t="n"/>
      <c r="Y34" s="74">
        <f>IFERROR(IF(X34&gt;0,W34/X34,"-"),"-")</f>
        <v/>
      </c>
      <c r="Z34" s="75" t="n">
        <v>1</v>
      </c>
      <c r="AA34" s="74" t="n">
        <v>1</v>
      </c>
      <c r="AB34" s="74">
        <f>IFERROR(IF(AA34&gt;0,Z34/AA34,"-"),"-")</f>
        <v/>
      </c>
      <c r="AC34" s="75" t="n"/>
      <c r="AD34" s="74" t="n"/>
      <c r="AE34" s="74">
        <f>IFERROR(IF(AD34&gt;0,AC34/AD34,"-"),"-")</f>
        <v/>
      </c>
      <c r="AF34" s="75" t="n"/>
      <c r="AG34" s="74" t="n"/>
      <c r="AH34" s="74">
        <f>IFERROR(IF(AG34&gt;0,AF34/AG34,"-"),"-")</f>
        <v/>
      </c>
      <c r="AI34" s="75" t="n"/>
      <c r="AJ34" s="74" t="n"/>
      <c r="AK34" s="74">
        <f>IFERROR(IF(AJ34&gt;0,AI34/AJ34,"-"),"-")</f>
        <v/>
      </c>
      <c r="AL34" s="75" t="n"/>
      <c r="AM34" s="74" t="n"/>
      <c r="AN34" s="74">
        <f>IFERROR(IF(AM34&gt;0,AL34/AM34,"-"),"-")</f>
        <v/>
      </c>
      <c r="AO34" s="75" t="n"/>
      <c r="AP34" s="74" t="n"/>
      <c r="AQ34" s="74">
        <f>IFERROR(IF(AP34&gt;0,AO34/AP34,"-"),"-")</f>
        <v/>
      </c>
      <c r="AR34" s="75" t="n"/>
      <c r="AS34" s="60" t="n"/>
      <c r="AT34" s="60" t="n"/>
    </row>
    <row r="35" ht="15" customHeight="1">
      <c r="A35" s="70" t="n">
        <v>27</v>
      </c>
      <c r="B35" s="71" t="inlineStr">
        <is>
          <t>Caballo Collection</t>
        </is>
      </c>
      <c r="C35" s="70" t="inlineStr">
        <is>
          <t>C00011</t>
        </is>
      </c>
      <c r="D35" s="71" t="inlineStr">
        <is>
          <t>Violet Perfume 100ml</t>
        </is>
      </c>
      <c r="E35" s="70" t="n">
        <v>4</v>
      </c>
      <c r="F35" s="72">
        <f>SUM(I35:AP35)</f>
        <v/>
      </c>
      <c r="G35" s="72">
        <f>SUM(J35:AQ35)</f>
        <v/>
      </c>
      <c r="H35" s="73">
        <f>IFERROR(IF(G35&gt;0,F35/G35,"-"),"-")</f>
        <v/>
      </c>
      <c r="I35" s="74" t="n"/>
      <c r="J35" s="74">
        <f>IFERROR(IF(I35&gt;0,H35/I35,"-"),"-")</f>
        <v/>
      </c>
      <c r="K35" s="75" t="n">
        <v>1</v>
      </c>
      <c r="L35" s="74" t="n"/>
      <c r="M35" s="74">
        <f>IFERROR(IF(L35&gt;0,K35/L35,"-"),"-")</f>
        <v/>
      </c>
      <c r="N35" s="75" t="n">
        <v>1</v>
      </c>
      <c r="O35" s="74" t="n"/>
      <c r="P35" s="74">
        <f>IFERROR(IF(O35&gt;0,N35/O35,"-"),"-")</f>
        <v/>
      </c>
      <c r="Q35" s="75" t="n"/>
      <c r="R35" s="74" t="n"/>
      <c r="S35" s="74">
        <f>IFERROR(IF(R35&gt;0,Q35/R35,"-"),"-")</f>
        <v/>
      </c>
      <c r="T35" s="75" t="n"/>
      <c r="U35" s="74" t="n"/>
      <c r="V35" s="74">
        <f>IFERROR(IF(U35&gt;0,T35/U35,"-"),"-")</f>
        <v/>
      </c>
      <c r="W35" s="75" t="n">
        <v>1</v>
      </c>
      <c r="X35" s="74" t="n"/>
      <c r="Y35" s="74">
        <f>IFERROR(IF(X35&gt;0,W35/X35,"-"),"-")</f>
        <v/>
      </c>
      <c r="Z35" s="75" t="n"/>
      <c r="AA35" s="74" t="n"/>
      <c r="AB35" s="74">
        <f>IFERROR(IF(AA35&gt;0,Z35/AA35,"-"),"-")</f>
        <v/>
      </c>
      <c r="AC35" s="75" t="n"/>
      <c r="AD35" s="74" t="n"/>
      <c r="AE35" s="74">
        <f>IFERROR(IF(AD35&gt;0,AC35/AD35,"-"),"-")</f>
        <v/>
      </c>
      <c r="AF35" s="75" t="n"/>
      <c r="AG35" s="74" t="n"/>
      <c r="AH35" s="74">
        <f>IFERROR(IF(AG35&gt;0,AF35/AG35,"-"),"-")</f>
        <v/>
      </c>
      <c r="AI35" s="75" t="n">
        <v>1</v>
      </c>
      <c r="AJ35" s="74" t="n"/>
      <c r="AK35" s="74">
        <f>IFERROR(IF(AJ35&gt;0,AI35/AJ35,"-"),"-")</f>
        <v/>
      </c>
      <c r="AL35" s="75" t="n"/>
      <c r="AM35" s="74" t="n"/>
      <c r="AN35" s="74">
        <f>IFERROR(IF(AM35&gt;0,AL35/AM35,"-"),"-")</f>
        <v/>
      </c>
      <c r="AO35" s="75" t="n">
        <v>1</v>
      </c>
      <c r="AP35" s="74" t="n"/>
      <c r="AQ35" s="74">
        <f>IFERROR(IF(AP35&gt;0,AO35/AP35,"-"),"-")</f>
        <v/>
      </c>
      <c r="AR35" s="75" t="n"/>
      <c r="AS35" s="60" t="n"/>
      <c r="AT35" s="60" t="n"/>
    </row>
    <row r="36" ht="15" customHeight="1">
      <c r="A36" s="70" t="n">
        <v>28</v>
      </c>
      <c r="B36" s="71" t="inlineStr">
        <is>
          <t>Caballo Collection</t>
        </is>
      </c>
      <c r="C36" s="70" t="inlineStr">
        <is>
          <t>C00012</t>
        </is>
      </c>
      <c r="D36" s="71" t="inlineStr">
        <is>
          <t>Navy Perfume 100ml</t>
        </is>
      </c>
      <c r="E36" s="70" t="n">
        <v>5</v>
      </c>
      <c r="F36" s="72">
        <f>SUM(I36:AP36)</f>
        <v/>
      </c>
      <c r="G36" s="72">
        <f>SUM(J36:AQ36)</f>
        <v/>
      </c>
      <c r="H36" s="73">
        <f>IFERROR(IF(G36&gt;0,F36/G36,"-"),"-")</f>
        <v/>
      </c>
      <c r="I36" s="74" t="n">
        <v>34</v>
      </c>
      <c r="J36" s="74">
        <f>IFERROR(IF(I36&gt;0,H36/I36,"-"),"-")</f>
        <v/>
      </c>
      <c r="K36" s="75" t="n">
        <v>3</v>
      </c>
      <c r="L36" s="74" t="n">
        <v>66</v>
      </c>
      <c r="M36" s="74">
        <f>IFERROR(IF(L36&gt;0,K36/L36,"-"),"-")</f>
        <v/>
      </c>
      <c r="N36" s="75" t="n">
        <v>5</v>
      </c>
      <c r="O36" s="74" t="n">
        <v>18</v>
      </c>
      <c r="P36" s="74">
        <f>IFERROR(IF(O36&gt;0,N36/O36,"-"),"-")</f>
        <v/>
      </c>
      <c r="Q36" s="75" t="n">
        <v>3</v>
      </c>
      <c r="R36" s="74" t="n">
        <v>56</v>
      </c>
      <c r="S36" s="74">
        <f>IFERROR(IF(R36&gt;0,Q36/R36,"-"),"-")</f>
        <v/>
      </c>
      <c r="T36" s="75" t="n">
        <v>7</v>
      </c>
      <c r="U36" s="74" t="n">
        <v>51</v>
      </c>
      <c r="V36" s="74">
        <f>IFERROR(IF(U36&gt;0,T36/U36,"-"),"-")</f>
        <v/>
      </c>
      <c r="W36" s="75" t="n">
        <v>3</v>
      </c>
      <c r="X36" s="74" t="n">
        <v>59</v>
      </c>
      <c r="Y36" s="74">
        <f>IFERROR(IF(X36&gt;0,W36/X36,"-"),"-")</f>
        <v/>
      </c>
      <c r="Z36" s="75" t="n">
        <v>6</v>
      </c>
      <c r="AA36" s="74" t="n">
        <v>99</v>
      </c>
      <c r="AB36" s="74">
        <f>IFERROR(IF(AA36&gt;0,Z36/AA36,"-"),"-")</f>
        <v/>
      </c>
      <c r="AC36" s="75" t="n">
        <v>2</v>
      </c>
      <c r="AD36" s="74" t="n"/>
      <c r="AE36" s="74">
        <f>IFERROR(IF(AD36&gt;0,AC36/AD36,"-"),"-")</f>
        <v/>
      </c>
      <c r="AF36" s="75" t="n"/>
      <c r="AG36" s="74" t="n"/>
      <c r="AH36" s="74">
        <f>IFERROR(IF(AG36&gt;0,AF36/AG36,"-"),"-")</f>
        <v/>
      </c>
      <c r="AI36" s="75" t="n">
        <v>2</v>
      </c>
      <c r="AJ36" s="74" t="n">
        <v>55</v>
      </c>
      <c r="AK36" s="74">
        <f>IFERROR(IF(AJ36&gt;0,AI36/AJ36,"-"),"-")</f>
        <v/>
      </c>
      <c r="AL36" s="75" t="n">
        <v>1</v>
      </c>
      <c r="AM36" s="74" t="n">
        <v>28</v>
      </c>
      <c r="AN36" s="74">
        <f>IFERROR(IF(AM36&gt;0,AL36/AM36,"-"),"-")</f>
        <v/>
      </c>
      <c r="AO36" s="75" t="n">
        <v>4</v>
      </c>
      <c r="AP36" s="74" t="n">
        <v>36</v>
      </c>
      <c r="AQ36" s="74">
        <f>IFERROR(IF(AP36&gt;0,AO36/AP36,"-"),"-")</f>
        <v/>
      </c>
      <c r="AR36" s="75" t="n">
        <v>1</v>
      </c>
      <c r="AS36" s="60" t="n"/>
      <c r="AT36" s="60" t="n"/>
    </row>
    <row r="37" ht="15" customHeight="1">
      <c r="A37" s="70" t="n">
        <v>29</v>
      </c>
      <c r="B37" s="71" t="inlineStr">
        <is>
          <t>Caballo Collection</t>
        </is>
      </c>
      <c r="C37" s="70" t="inlineStr">
        <is>
          <t>C00013</t>
        </is>
      </c>
      <c r="D37" s="71" t="inlineStr">
        <is>
          <t>White Overdose Perfume 100ml</t>
        </is>
      </c>
      <c r="E37" s="70" t="n"/>
      <c r="F37" s="72">
        <f>SUM(I37:AP37)</f>
        <v/>
      </c>
      <c r="G37" s="72">
        <f>SUM(J37:AQ37)</f>
        <v/>
      </c>
      <c r="H37" s="73">
        <f>IFERROR(IF(G37&gt;0,F37/G37,"-"),"-")</f>
        <v/>
      </c>
      <c r="I37" s="74" t="n">
        <v>6</v>
      </c>
      <c r="J37" s="74">
        <f>IFERROR(IF(I37&gt;0,H37/I37,"-"),"-")</f>
        <v/>
      </c>
      <c r="K37" s="75" t="n">
        <v>1</v>
      </c>
      <c r="L37" s="74" t="n">
        <v>23</v>
      </c>
      <c r="M37" s="74">
        <f>IFERROR(IF(L37&gt;0,K37/L37,"-"),"-")</f>
        <v/>
      </c>
      <c r="N37" s="75" t="n">
        <v>2</v>
      </c>
      <c r="O37" s="74" t="n">
        <v>1</v>
      </c>
      <c r="P37" s="74">
        <f>IFERROR(IF(O37&gt;0,N37/O37,"-"),"-")</f>
        <v/>
      </c>
      <c r="Q37" s="75" t="n"/>
      <c r="R37" s="74" t="n">
        <v>17</v>
      </c>
      <c r="S37" s="74">
        <f>IFERROR(IF(R37&gt;0,Q37/R37,"-"),"-")</f>
        <v/>
      </c>
      <c r="T37" s="75" t="n">
        <v>1</v>
      </c>
      <c r="U37" s="74" t="n">
        <v>21</v>
      </c>
      <c r="V37" s="74">
        <f>IFERROR(IF(U37&gt;0,T37/U37,"-"),"-")</f>
        <v/>
      </c>
      <c r="W37" s="75" t="n">
        <v>1</v>
      </c>
      <c r="X37" s="74" t="n">
        <v>27</v>
      </c>
      <c r="Y37" s="74">
        <f>IFERROR(IF(X37&gt;0,W37/X37,"-"),"-")</f>
        <v/>
      </c>
      <c r="Z37" s="75" t="n">
        <v>1</v>
      </c>
      <c r="AA37" s="74" t="n">
        <v>40</v>
      </c>
      <c r="AB37" s="74">
        <f>IFERROR(IF(AA37&gt;0,Z37/AA37,"-"),"-")</f>
        <v/>
      </c>
      <c r="AC37" s="75" t="n">
        <v>1</v>
      </c>
      <c r="AD37" s="74" t="n"/>
      <c r="AE37" s="74">
        <f>IFERROR(IF(AD37&gt;0,AC37/AD37,"-"),"-")</f>
        <v/>
      </c>
      <c r="AF37" s="75" t="n"/>
      <c r="AG37" s="74" t="n"/>
      <c r="AH37" s="74">
        <f>IFERROR(IF(AG37&gt;0,AF37/AG37,"-"),"-")</f>
        <v/>
      </c>
      <c r="AI37" s="75" t="n">
        <v>1</v>
      </c>
      <c r="AJ37" s="74" t="n">
        <v>7</v>
      </c>
      <c r="AK37" s="74">
        <f>IFERROR(IF(AJ37&gt;0,AI37/AJ37,"-"),"-")</f>
        <v/>
      </c>
      <c r="AL37" s="75" t="n">
        <v>1</v>
      </c>
      <c r="AM37" s="74" t="n">
        <v>7</v>
      </c>
      <c r="AN37" s="74">
        <f>IFERROR(IF(AM37&gt;0,AL37/AM37,"-"),"-")</f>
        <v/>
      </c>
      <c r="AO37" s="75" t="n">
        <v>1</v>
      </c>
      <c r="AP37" s="74" t="n">
        <v>10</v>
      </c>
      <c r="AQ37" s="74">
        <f>IFERROR(IF(AP37&gt;0,AO37/AP37,"-"),"-")</f>
        <v/>
      </c>
      <c r="AR37" s="75" t="n">
        <v>1</v>
      </c>
      <c r="AS37" s="60" t="n"/>
      <c r="AT37" s="60" t="n"/>
    </row>
    <row r="38" ht="15" customHeight="1">
      <c r="A38" s="70" t="n">
        <v>30</v>
      </c>
      <c r="B38" s="71" t="inlineStr">
        <is>
          <t>Caballo Collection</t>
        </is>
      </c>
      <c r="C38" s="70" t="inlineStr">
        <is>
          <t>C00014</t>
        </is>
      </c>
      <c r="D38" s="71" t="inlineStr">
        <is>
          <t>Black Perfume 100ml</t>
        </is>
      </c>
      <c r="E38" s="70" t="n">
        <v>2</v>
      </c>
      <c r="F38" s="72">
        <f>SUM(I38:AP38)</f>
        <v/>
      </c>
      <c r="G38" s="72">
        <f>SUM(J38:AQ38)</f>
        <v/>
      </c>
      <c r="H38" s="73">
        <f>IFERROR(IF(G38&gt;0,F38/G38,"-"),"-")</f>
        <v/>
      </c>
      <c r="I38" s="74" t="n">
        <v>2</v>
      </c>
      <c r="J38" s="74">
        <f>IFERROR(IF(I38&gt;0,H38/I38,"-"),"-")</f>
        <v/>
      </c>
      <c r="K38" s="75" t="n"/>
      <c r="L38" s="74" t="n">
        <v>4</v>
      </c>
      <c r="M38" s="74">
        <f>IFERROR(IF(L38&gt;0,K38/L38,"-"),"-")</f>
        <v/>
      </c>
      <c r="N38" s="75" t="n">
        <v>3</v>
      </c>
      <c r="O38" s="74" t="n">
        <v>3</v>
      </c>
      <c r="P38" s="74">
        <f>IFERROR(IF(O38&gt;0,N38/O38,"-"),"-")</f>
        <v/>
      </c>
      <c r="Q38" s="75" t="n"/>
      <c r="R38" s="74" t="n">
        <v>3</v>
      </c>
      <c r="S38" s="74">
        <f>IFERROR(IF(R38&gt;0,Q38/R38,"-"),"-")</f>
        <v/>
      </c>
      <c r="T38" s="75" t="n"/>
      <c r="U38" s="74" t="n">
        <v>5</v>
      </c>
      <c r="V38" s="74">
        <f>IFERROR(IF(U38&gt;0,T38/U38,"-"),"-")</f>
        <v/>
      </c>
      <c r="W38" s="75" t="n">
        <v>2</v>
      </c>
      <c r="X38" s="74" t="n">
        <v>6</v>
      </c>
      <c r="Y38" s="74">
        <f>IFERROR(IF(X38&gt;0,W38/X38,"-"),"-")</f>
        <v/>
      </c>
      <c r="Z38" s="75" t="n">
        <v>2</v>
      </c>
      <c r="AA38" s="74" t="n">
        <v>17</v>
      </c>
      <c r="AB38" s="74">
        <f>IFERROR(IF(AA38&gt;0,Z38/AA38,"-"),"-")</f>
        <v/>
      </c>
      <c r="AC38" s="75" t="n">
        <v>2</v>
      </c>
      <c r="AD38" s="74" t="n"/>
      <c r="AE38" s="74">
        <f>IFERROR(IF(AD38&gt;0,AC38/AD38,"-"),"-")</f>
        <v/>
      </c>
      <c r="AF38" s="75" t="n"/>
      <c r="AG38" s="74" t="n"/>
      <c r="AH38" s="74">
        <f>IFERROR(IF(AG38&gt;0,AF38/AG38,"-"),"-")</f>
        <v/>
      </c>
      <c r="AI38" s="75" t="n">
        <v>1</v>
      </c>
      <c r="AJ38" s="74" t="n">
        <v>4</v>
      </c>
      <c r="AK38" s="74">
        <f>IFERROR(IF(AJ38&gt;0,AI38/AJ38,"-"),"-")</f>
        <v/>
      </c>
      <c r="AL38" s="75" t="n">
        <v>2</v>
      </c>
      <c r="AM38" s="74" t="n">
        <v>1</v>
      </c>
      <c r="AN38" s="74">
        <f>IFERROR(IF(AM38&gt;0,AL38/AM38,"-"),"-")</f>
        <v/>
      </c>
      <c r="AO38" s="75" t="n">
        <v>2</v>
      </c>
      <c r="AP38" s="74" t="n">
        <v>2</v>
      </c>
      <c r="AQ38" s="74">
        <f>IFERROR(IF(AP38&gt;0,AO38/AP38,"-"),"-")</f>
        <v/>
      </c>
      <c r="AR38" s="75" t="n">
        <v>1</v>
      </c>
      <c r="AS38" s="60" t="n"/>
      <c r="AT38" s="60" t="n"/>
    </row>
    <row r="39" ht="15" customHeight="1">
      <c r="A39" s="76" t="inlineStr">
        <is>
          <t xml:space="preserve">  DAKHOON COLLECTION</t>
        </is>
      </c>
      <c r="B39" s="77" t="n"/>
      <c r="C39" s="77" t="n"/>
      <c r="D39" s="77" t="n"/>
      <c r="E39" s="77" t="n">
        <v>2</v>
      </c>
      <c r="F39" s="72">
        <f>SUM(I39:AP39)</f>
        <v/>
      </c>
      <c r="G39" s="72">
        <f>SUM(J39:AQ39)</f>
        <v/>
      </c>
      <c r="H39" s="73">
        <f>IFERROR(IF(G39&gt;0,F39/G39,"-"),"-")</f>
        <v/>
      </c>
      <c r="I39" s="74" t="n">
        <v>1</v>
      </c>
      <c r="J39" s="74">
        <f>IFERROR(IF(I39&gt;0,H39/I39,"-"),"-")</f>
        <v/>
      </c>
      <c r="K39" s="75" t="n">
        <v>3</v>
      </c>
      <c r="L39" s="74" t="n">
        <v>1</v>
      </c>
      <c r="M39" s="74">
        <f>IFERROR(IF(L39&gt;0,K39/L39,"-"),"-")</f>
        <v/>
      </c>
      <c r="N39" s="75" t="n">
        <v>3</v>
      </c>
      <c r="O39" s="74" t="n">
        <v>1</v>
      </c>
      <c r="P39" s="74">
        <f>IFERROR(IF(O39&gt;0,N39/O39,"-"),"-")</f>
        <v/>
      </c>
      <c r="Q39" s="75" t="n"/>
      <c r="R39" s="74" t="n">
        <v>2</v>
      </c>
      <c r="S39" s="74">
        <f>IFERROR(IF(R39&gt;0,Q39/R39,"-"),"-")</f>
        <v/>
      </c>
      <c r="T39" s="75" t="n">
        <v>4</v>
      </c>
      <c r="U39" s="74" t="n"/>
      <c r="V39" s="74">
        <f>IFERROR(IF(U39&gt;0,T39/U39,"-"),"-")</f>
        <v/>
      </c>
      <c r="W39" s="75" t="n">
        <v>2</v>
      </c>
      <c r="X39" s="74" t="n">
        <v>5</v>
      </c>
      <c r="Y39" s="74">
        <f>IFERROR(IF(X39&gt;0,W39/X39,"-"),"-")</f>
        <v/>
      </c>
      <c r="Z39" s="75" t="n">
        <v>7</v>
      </c>
      <c r="AA39" s="74" t="n">
        <v>1</v>
      </c>
      <c r="AB39" s="74">
        <f>IFERROR(IF(AA39&gt;0,Z39/AA39,"-"),"-")</f>
        <v/>
      </c>
      <c r="AC39" s="75" t="n">
        <v>2</v>
      </c>
      <c r="AD39" s="74" t="n"/>
      <c r="AE39" s="74">
        <f>IFERROR(IF(AD39&gt;0,AC39/AD39,"-"),"-")</f>
        <v/>
      </c>
      <c r="AF39" s="75" t="n"/>
      <c r="AG39" s="74" t="n"/>
      <c r="AH39" s="74">
        <f>IFERROR(IF(AG39&gt;0,AF39/AG39,"-"),"-")</f>
        <v/>
      </c>
      <c r="AI39" s="75" t="n">
        <v>1</v>
      </c>
      <c r="AJ39" s="74" t="n"/>
      <c r="AK39" s="74">
        <f>IFERROR(IF(AJ39&gt;0,AI39/AJ39,"-"),"-")</f>
        <v/>
      </c>
      <c r="AL39" s="75" t="n">
        <v>1</v>
      </c>
      <c r="AM39" s="74" t="n"/>
      <c r="AN39" s="74">
        <f>IFERROR(IF(AM39&gt;0,AL39/AM39,"-"),"-")</f>
        <v/>
      </c>
      <c r="AO39" s="75" t="n">
        <v>3</v>
      </c>
      <c r="AP39" s="74" t="n">
        <v>2</v>
      </c>
      <c r="AQ39" s="74">
        <f>IFERROR(IF(AP39&gt;0,AO39/AP39,"-"),"-")</f>
        <v/>
      </c>
      <c r="AR39" s="75" t="n"/>
      <c r="AS39" s="59" t="n"/>
      <c r="AT39" s="59" t="n"/>
    </row>
    <row r="40" ht="15" customHeight="1">
      <c r="A40" s="70" t="n">
        <v>31</v>
      </c>
      <c r="B40" s="71" t="inlineStr">
        <is>
          <t>Dakhoon Collection</t>
        </is>
      </c>
      <c r="C40" s="70" t="inlineStr">
        <is>
          <t>D00001</t>
        </is>
      </c>
      <c r="D40" s="71" t="inlineStr">
        <is>
          <t>Dakhoon Al Emarat</t>
        </is>
      </c>
      <c r="E40" s="70" t="n">
        <v>2</v>
      </c>
      <c r="F40" s="72">
        <f>SUM(I40:AP40)</f>
        <v/>
      </c>
      <c r="G40" s="72">
        <f>SUM(J40:AQ40)</f>
        <v/>
      </c>
      <c r="H40" s="73">
        <f>IFERROR(IF(G40&gt;0,F40/G40,"-"),"-")</f>
        <v/>
      </c>
      <c r="I40" s="74" t="n"/>
      <c r="J40" s="74">
        <f>IFERROR(IF(I40&gt;0,H40/I40,"-"),"-")</f>
        <v/>
      </c>
      <c r="K40" s="75" t="n"/>
      <c r="L40" s="74" t="n"/>
      <c r="M40" s="74">
        <f>IFERROR(IF(L40&gt;0,K40/L40,"-"),"-")</f>
        <v/>
      </c>
      <c r="N40" s="75" t="n">
        <v>1</v>
      </c>
      <c r="O40" s="74" t="n"/>
      <c r="P40" s="74">
        <f>IFERROR(IF(O40&gt;0,N40/O40,"-"),"-")</f>
        <v/>
      </c>
      <c r="Q40" s="75" t="n"/>
      <c r="R40" s="74" t="n"/>
      <c r="S40" s="74">
        <f>IFERROR(IF(R40&gt;0,Q40/R40,"-"),"-")</f>
        <v/>
      </c>
      <c r="T40" s="75" t="n">
        <v>1</v>
      </c>
      <c r="U40" s="74" t="n"/>
      <c r="V40" s="74">
        <f>IFERROR(IF(U40&gt;0,T40/U40,"-"),"-")</f>
        <v/>
      </c>
      <c r="W40" s="75" t="n"/>
      <c r="X40" s="74" t="n"/>
      <c r="Y40" s="74">
        <f>IFERROR(IF(X40&gt;0,W40/X40,"-"),"-")</f>
        <v/>
      </c>
      <c r="Z40" s="75" t="n"/>
      <c r="AA40" s="74" t="n"/>
      <c r="AB40" s="74">
        <f>IFERROR(IF(AA40&gt;0,Z40/AA40,"-"),"-")</f>
        <v/>
      </c>
      <c r="AC40" s="75" t="n">
        <v>1</v>
      </c>
      <c r="AD40" s="74" t="n"/>
      <c r="AE40" s="74">
        <f>IFERROR(IF(AD40&gt;0,AC40/AD40,"-"),"-")</f>
        <v/>
      </c>
      <c r="AF40" s="75" t="n"/>
      <c r="AG40" s="74" t="n"/>
      <c r="AH40" s="74">
        <f>IFERROR(IF(AG40&gt;0,AF40/AG40,"-"),"-")</f>
        <v/>
      </c>
      <c r="AI40" s="75" t="n"/>
      <c r="AJ40" s="74" t="n"/>
      <c r="AK40" s="74">
        <f>IFERROR(IF(AJ40&gt;0,AI40/AJ40,"-"),"-")</f>
        <v/>
      </c>
      <c r="AL40" s="75" t="n">
        <v>1</v>
      </c>
      <c r="AM40" s="74" t="n"/>
      <c r="AN40" s="74">
        <f>IFERROR(IF(AM40&gt;0,AL40/AM40,"-"),"-")</f>
        <v/>
      </c>
      <c r="AO40" s="75" t="n">
        <v>1</v>
      </c>
      <c r="AP40" s="74" t="n"/>
      <c r="AQ40" s="74">
        <f>IFERROR(IF(AP40&gt;0,AO40/AP40,"-"),"-")</f>
        <v/>
      </c>
      <c r="AR40" s="75" t="n">
        <v>1</v>
      </c>
      <c r="AS40" s="60" t="n"/>
      <c r="AT40" s="60" t="n"/>
    </row>
    <row r="41" ht="15" customHeight="1">
      <c r="A41" s="70" t="n">
        <v>32</v>
      </c>
      <c r="B41" s="71" t="inlineStr">
        <is>
          <t>Dakhoon Collection</t>
        </is>
      </c>
      <c r="C41" s="70" t="inlineStr">
        <is>
          <t>D00002</t>
        </is>
      </c>
      <c r="D41" s="71" t="inlineStr">
        <is>
          <t>Dakhoon Al Marasim</t>
        </is>
      </c>
      <c r="E41" s="70" t="n"/>
      <c r="F41" s="72">
        <f>SUM(I41:AP41)</f>
        <v/>
      </c>
      <c r="G41" s="72">
        <f>SUM(J41:AQ41)</f>
        <v/>
      </c>
      <c r="H41" s="73">
        <f>IFERROR(IF(G41&gt;0,F41/G41,"-"),"-")</f>
        <v/>
      </c>
      <c r="I41" s="74" t="n"/>
      <c r="J41" s="74">
        <f>IFERROR(IF(I41&gt;0,H41/I41,"-"),"-")</f>
        <v/>
      </c>
      <c r="K41" s="75" t="n"/>
      <c r="L41" s="74" t="n"/>
      <c r="M41" s="74">
        <f>IFERROR(IF(L41&gt;0,K41/L41,"-"),"-")</f>
        <v/>
      </c>
      <c r="N41" s="75" t="n"/>
      <c r="O41" s="74" t="n"/>
      <c r="P41" s="74">
        <f>IFERROR(IF(O41&gt;0,N41/O41,"-"),"-")</f>
        <v/>
      </c>
      <c r="Q41" s="75" t="n"/>
      <c r="R41" s="74" t="n"/>
      <c r="S41" s="74">
        <f>IFERROR(IF(R41&gt;0,Q41/R41,"-"),"-")</f>
        <v/>
      </c>
      <c r="T41" s="75" t="n"/>
      <c r="U41" s="74" t="n"/>
      <c r="V41" s="74">
        <f>IFERROR(IF(U41&gt;0,T41/U41,"-"),"-")</f>
        <v/>
      </c>
      <c r="W41" s="75" t="n"/>
      <c r="X41" s="74" t="n"/>
      <c r="Y41" s="74">
        <f>IFERROR(IF(X41&gt;0,W41/X41,"-"),"-")</f>
        <v/>
      </c>
      <c r="Z41" s="75" t="n"/>
      <c r="AA41" s="74" t="n"/>
      <c r="AB41" s="74">
        <f>IFERROR(IF(AA41&gt;0,Z41/AA41,"-"),"-")</f>
        <v/>
      </c>
      <c r="AC41" s="75" t="n">
        <v>1</v>
      </c>
      <c r="AD41" s="74" t="n"/>
      <c r="AE41" s="74">
        <f>IFERROR(IF(AD41&gt;0,AC41/AD41,"-"),"-")</f>
        <v/>
      </c>
      <c r="AF41" s="75" t="n"/>
      <c r="AG41" s="74" t="n"/>
      <c r="AH41" s="74">
        <f>IFERROR(IF(AG41&gt;0,AF41/AG41,"-"),"-")</f>
        <v/>
      </c>
      <c r="AI41" s="75" t="n"/>
      <c r="AJ41" s="74" t="n"/>
      <c r="AK41" s="74">
        <f>IFERROR(IF(AJ41&gt;0,AI41/AJ41,"-"),"-")</f>
        <v/>
      </c>
      <c r="AL41" s="75" t="n"/>
      <c r="AM41" s="74" t="n"/>
      <c r="AN41" s="74">
        <f>IFERROR(IF(AM41&gt;0,AL41/AM41,"-"),"-")</f>
        <v/>
      </c>
      <c r="AO41" s="75" t="n"/>
      <c r="AP41" s="74" t="n"/>
      <c r="AQ41" s="74">
        <f>IFERROR(IF(AP41&gt;0,AO41/AP41,"-"),"-")</f>
        <v/>
      </c>
      <c r="AR41" s="75" t="n"/>
      <c r="AS41" s="60" t="n"/>
      <c r="AT41" s="60" t="n"/>
    </row>
    <row r="42" ht="15" customHeight="1">
      <c r="A42" s="70" t="n">
        <v>33</v>
      </c>
      <c r="B42" s="71" t="inlineStr">
        <is>
          <t>Dakhoon Collection</t>
        </is>
      </c>
      <c r="C42" s="70" t="inlineStr">
        <is>
          <t>D00003</t>
        </is>
      </c>
      <c r="D42" s="71" t="inlineStr">
        <is>
          <t>Dakhoon Badia</t>
        </is>
      </c>
      <c r="E42" s="70" t="n"/>
      <c r="F42" s="72">
        <f>SUM(I42:AP42)</f>
        <v/>
      </c>
      <c r="G42" s="72">
        <f>SUM(J42:AQ42)</f>
        <v/>
      </c>
      <c r="H42" s="73">
        <f>IFERROR(IF(G42&gt;0,F42/G42,"-"),"-")</f>
        <v/>
      </c>
      <c r="I42" s="74" t="n"/>
      <c r="J42" s="74">
        <f>IFERROR(IF(I42&gt;0,H42/I42,"-"),"-")</f>
        <v/>
      </c>
      <c r="K42" s="75" t="n"/>
      <c r="L42" s="74" t="n"/>
      <c r="M42" s="74">
        <f>IFERROR(IF(L42&gt;0,K42/L42,"-"),"-")</f>
        <v/>
      </c>
      <c r="N42" s="75" t="n"/>
      <c r="O42" s="74" t="n"/>
      <c r="P42" s="74">
        <f>IFERROR(IF(O42&gt;0,N42/O42,"-"),"-")</f>
        <v/>
      </c>
      <c r="Q42" s="75" t="n"/>
      <c r="R42" s="74" t="n"/>
      <c r="S42" s="74">
        <f>IFERROR(IF(R42&gt;0,Q42/R42,"-"),"-")</f>
        <v/>
      </c>
      <c r="T42" s="75" t="n"/>
      <c r="U42" s="74" t="n"/>
      <c r="V42" s="74">
        <f>IFERROR(IF(U42&gt;0,T42/U42,"-"),"-")</f>
        <v/>
      </c>
      <c r="W42" s="75" t="n"/>
      <c r="X42" s="74" t="n"/>
      <c r="Y42" s="74">
        <f>IFERROR(IF(X42&gt;0,W42/X42,"-"),"-")</f>
        <v/>
      </c>
      <c r="Z42" s="75" t="n">
        <v>1</v>
      </c>
      <c r="AA42" s="74" t="n"/>
      <c r="AB42" s="74">
        <f>IFERROR(IF(AA42&gt;0,Z42/AA42,"-"),"-")</f>
        <v/>
      </c>
      <c r="AC42" s="75" t="n">
        <v>1</v>
      </c>
      <c r="AD42" s="74" t="n"/>
      <c r="AE42" s="74">
        <f>IFERROR(IF(AD42&gt;0,AC42/AD42,"-"),"-")</f>
        <v/>
      </c>
      <c r="AF42" s="75" t="n"/>
      <c r="AG42" s="74" t="n"/>
      <c r="AH42" s="74">
        <f>IFERROR(IF(AG42&gt;0,AF42/AG42,"-"),"-")</f>
        <v/>
      </c>
      <c r="AI42" s="75" t="n"/>
      <c r="AJ42" s="74" t="n"/>
      <c r="AK42" s="74">
        <f>IFERROR(IF(AJ42&gt;0,AI42/AJ42,"-"),"-")</f>
        <v/>
      </c>
      <c r="AL42" s="75" t="n"/>
      <c r="AM42" s="74" t="n"/>
      <c r="AN42" s="74">
        <f>IFERROR(IF(AM42&gt;0,AL42/AM42,"-"),"-")</f>
        <v/>
      </c>
      <c r="AO42" s="75" t="n"/>
      <c r="AP42" s="74" t="n"/>
      <c r="AQ42" s="74">
        <f>IFERROR(IF(AP42&gt;0,AO42/AP42,"-"),"-")</f>
        <v/>
      </c>
      <c r="AR42" s="75" t="n"/>
      <c r="AS42" s="60" t="n"/>
      <c r="AT42" s="60" t="n"/>
    </row>
    <row r="43" ht="15" customHeight="1">
      <c r="A43" s="70" t="n">
        <v>34</v>
      </c>
      <c r="B43" s="71" t="inlineStr">
        <is>
          <t>Dakhoon Collection</t>
        </is>
      </c>
      <c r="C43" s="70" t="inlineStr">
        <is>
          <t>D00004</t>
        </is>
      </c>
      <c r="D43" s="71" t="inlineStr">
        <is>
          <t>Dakhoon Al Dar</t>
        </is>
      </c>
      <c r="E43" s="70" t="n"/>
      <c r="F43" s="72">
        <f>SUM(I43:AP43)</f>
        <v/>
      </c>
      <c r="G43" s="72">
        <f>SUM(J43:AQ43)</f>
        <v/>
      </c>
      <c r="H43" s="73">
        <f>IFERROR(IF(G43&gt;0,F43/G43,"-"),"-")</f>
        <v/>
      </c>
      <c r="I43" s="74" t="n">
        <v>2</v>
      </c>
      <c r="J43" s="74">
        <f>IFERROR(IF(I43&gt;0,H43/I43,"-"),"-")</f>
        <v/>
      </c>
      <c r="K43" s="75" t="n">
        <v>2</v>
      </c>
      <c r="L43" s="74" t="n">
        <v>8</v>
      </c>
      <c r="M43" s="74">
        <f>IFERROR(IF(L43&gt;0,K43/L43,"-"),"-")</f>
        <v/>
      </c>
      <c r="N43" s="75" t="n"/>
      <c r="O43" s="74" t="n">
        <v>1</v>
      </c>
      <c r="P43" s="74">
        <f>IFERROR(IF(O43&gt;0,N43/O43,"-"),"-")</f>
        <v/>
      </c>
      <c r="Q43" s="75" t="n">
        <v>1</v>
      </c>
      <c r="R43" s="74" t="n">
        <v>3</v>
      </c>
      <c r="S43" s="74">
        <f>IFERROR(IF(R43&gt;0,Q43/R43,"-"),"-")</f>
        <v/>
      </c>
      <c r="T43" s="75" t="n"/>
      <c r="U43" s="74" t="n">
        <v>7</v>
      </c>
      <c r="V43" s="74">
        <f>IFERROR(IF(U43&gt;0,T43/U43,"-"),"-")</f>
        <v/>
      </c>
      <c r="W43" s="75" t="n"/>
      <c r="X43" s="74" t="n">
        <v>3</v>
      </c>
      <c r="Y43" s="74">
        <f>IFERROR(IF(X43&gt;0,W43/X43,"-"),"-")</f>
        <v/>
      </c>
      <c r="Z43" s="75" t="n">
        <v>2</v>
      </c>
      <c r="AA43" s="74" t="n">
        <v>3</v>
      </c>
      <c r="AB43" s="74">
        <f>IFERROR(IF(AA43&gt;0,Z43/AA43,"-"),"-")</f>
        <v/>
      </c>
      <c r="AC43" s="75" t="n"/>
      <c r="AD43" s="74" t="n"/>
      <c r="AE43" s="74">
        <f>IFERROR(IF(AD43&gt;0,AC43/AD43,"-"),"-")</f>
        <v/>
      </c>
      <c r="AF43" s="75" t="n"/>
      <c r="AG43" s="74" t="n"/>
      <c r="AH43" s="74">
        <f>IFERROR(IF(AG43&gt;0,AF43/AG43,"-"),"-")</f>
        <v/>
      </c>
      <c r="AI43" s="75" t="n"/>
      <c r="AJ43" s="74" t="n"/>
      <c r="AK43" s="74">
        <f>IFERROR(IF(AJ43&gt;0,AI43/AJ43,"-"),"-")</f>
        <v/>
      </c>
      <c r="AL43" s="75" t="n"/>
      <c r="AM43" s="74" t="n"/>
      <c r="AN43" s="74">
        <f>IFERROR(IF(AM43&gt;0,AL43/AM43,"-"),"-")</f>
        <v/>
      </c>
      <c r="AO43" s="75" t="n"/>
      <c r="AP43" s="74" t="n">
        <v>2</v>
      </c>
      <c r="AQ43" s="74">
        <f>IFERROR(IF(AP43&gt;0,AO43/AP43,"-"),"-")</f>
        <v/>
      </c>
      <c r="AR43" s="75" t="n">
        <v>1</v>
      </c>
      <c r="AS43" s="60" t="n"/>
      <c r="AT43" s="60" t="n"/>
    </row>
    <row r="44" ht="15" customHeight="1">
      <c r="A44" s="70" t="n">
        <v>35</v>
      </c>
      <c r="B44" s="71" t="inlineStr">
        <is>
          <t>Dakhoon Collection</t>
        </is>
      </c>
      <c r="C44" s="70" t="inlineStr">
        <is>
          <t>D00008</t>
        </is>
      </c>
      <c r="D44" s="71" t="inlineStr">
        <is>
          <t>Dakhoon Retaj</t>
        </is>
      </c>
      <c r="E44" s="70" t="n"/>
      <c r="F44" s="72">
        <f>SUM(I44:AP44)</f>
        <v/>
      </c>
      <c r="G44" s="72">
        <f>SUM(J44:AQ44)</f>
        <v/>
      </c>
      <c r="H44" s="73">
        <f>IFERROR(IF(G44&gt;0,F44/G44,"-"),"-")</f>
        <v/>
      </c>
      <c r="I44" s="74" t="n">
        <v>4</v>
      </c>
      <c r="J44" s="74">
        <f>IFERROR(IF(I44&gt;0,H44/I44,"-"),"-")</f>
        <v/>
      </c>
      <c r="K44" s="75" t="n">
        <v>1</v>
      </c>
      <c r="L44" s="74" t="n">
        <v>4</v>
      </c>
      <c r="M44" s="74">
        <f>IFERROR(IF(L44&gt;0,K44/L44,"-"),"-")</f>
        <v/>
      </c>
      <c r="N44" s="75" t="n"/>
      <c r="O44" s="74" t="n"/>
      <c r="P44" s="74">
        <f>IFERROR(IF(O44&gt;0,N44/O44,"-"),"-")</f>
        <v/>
      </c>
      <c r="Q44" s="75" t="n">
        <v>1</v>
      </c>
      <c r="R44" s="74" t="n">
        <v>5</v>
      </c>
      <c r="S44" s="74">
        <f>IFERROR(IF(R44&gt;0,Q44/R44,"-"),"-")</f>
        <v/>
      </c>
      <c r="T44" s="75" t="n"/>
      <c r="U44" s="74" t="n">
        <v>1</v>
      </c>
      <c r="V44" s="74">
        <f>IFERROR(IF(U44&gt;0,T44/U44,"-"),"-")</f>
        <v/>
      </c>
      <c r="W44" s="75" t="n"/>
      <c r="X44" s="74" t="n">
        <v>6</v>
      </c>
      <c r="Y44" s="74">
        <f>IFERROR(IF(X44&gt;0,W44/X44,"-"),"-")</f>
        <v/>
      </c>
      <c r="Z44" s="75" t="n"/>
      <c r="AA44" s="74" t="n">
        <v>14</v>
      </c>
      <c r="AB44" s="74">
        <f>IFERROR(IF(AA44&gt;0,Z44/AA44,"-"),"-")</f>
        <v/>
      </c>
      <c r="AC44" s="75" t="n"/>
      <c r="AD44" s="74" t="n"/>
      <c r="AE44" s="74">
        <f>IFERROR(IF(AD44&gt;0,AC44/AD44,"-"),"-")</f>
        <v/>
      </c>
      <c r="AF44" s="75" t="n"/>
      <c r="AG44" s="74" t="n"/>
      <c r="AH44" s="74">
        <f>IFERROR(IF(AG44&gt;0,AF44/AG44,"-"),"-")</f>
        <v/>
      </c>
      <c r="AI44" s="75" t="n"/>
      <c r="AJ44" s="74" t="n">
        <v>5</v>
      </c>
      <c r="AK44" s="74">
        <f>IFERROR(IF(AJ44&gt;0,AI44/AJ44,"-"),"-")</f>
        <v/>
      </c>
      <c r="AL44" s="75" t="n"/>
      <c r="AM44" s="74" t="n">
        <v>3</v>
      </c>
      <c r="AN44" s="74">
        <f>IFERROR(IF(AM44&gt;0,AL44/AM44,"-"),"-")</f>
        <v/>
      </c>
      <c r="AO44" s="75" t="n"/>
      <c r="AP44" s="74" t="n">
        <v>5</v>
      </c>
      <c r="AQ44" s="74">
        <f>IFERROR(IF(AP44&gt;0,AO44/AP44,"-"),"-")</f>
        <v/>
      </c>
      <c r="AR44" s="75" t="n"/>
      <c r="AS44" s="60" t="n"/>
      <c r="AT44" s="60" t="n"/>
    </row>
    <row r="45" ht="15" customHeight="1">
      <c r="A45" s="76" t="inlineStr">
        <is>
          <t xml:space="preserve">  OUD COLLECTION</t>
        </is>
      </c>
      <c r="B45" s="77" t="n"/>
      <c r="C45" s="77" t="n"/>
      <c r="D45" s="77" t="n"/>
      <c r="E45" s="77" t="n"/>
      <c r="F45" s="72">
        <f>SUM(I45:AP45)</f>
        <v/>
      </c>
      <c r="G45" s="72">
        <f>SUM(J45:AQ45)</f>
        <v/>
      </c>
      <c r="H45" s="73">
        <f>IFERROR(IF(G45&gt;0,F45/G45,"-"),"-")</f>
        <v/>
      </c>
      <c r="I45" s="74" t="n">
        <v>1</v>
      </c>
      <c r="J45" s="74">
        <f>IFERROR(IF(I45&gt;0,H45/I45,"-"),"-")</f>
        <v/>
      </c>
      <c r="K45" s="75" t="n"/>
      <c r="L45" s="74" t="n">
        <v>6</v>
      </c>
      <c r="M45" s="74">
        <f>IFERROR(IF(L45&gt;0,K45/L45,"-"),"-")</f>
        <v/>
      </c>
      <c r="N45" s="75" t="n"/>
      <c r="O45" s="74" t="n">
        <v>1</v>
      </c>
      <c r="P45" s="74">
        <f>IFERROR(IF(O45&gt;0,N45/O45,"-"),"-")</f>
        <v/>
      </c>
      <c r="Q45" s="75" t="n"/>
      <c r="R45" s="74" t="n">
        <v>2</v>
      </c>
      <c r="S45" s="74">
        <f>IFERROR(IF(R45&gt;0,Q45/R45,"-"),"-")</f>
        <v/>
      </c>
      <c r="T45" s="75" t="n"/>
      <c r="U45" s="74" t="n">
        <v>2</v>
      </c>
      <c r="V45" s="74">
        <f>IFERROR(IF(U45&gt;0,T45/U45,"-"),"-")</f>
        <v/>
      </c>
      <c r="W45" s="75" t="n"/>
      <c r="X45" s="74" t="n">
        <v>2</v>
      </c>
      <c r="Y45" s="74">
        <f>IFERROR(IF(X45&gt;0,W45/X45,"-"),"-")</f>
        <v/>
      </c>
      <c r="Z45" s="75" t="n"/>
      <c r="AA45" s="74" t="n">
        <v>4</v>
      </c>
      <c r="AB45" s="74">
        <f>IFERROR(IF(AA45&gt;0,Z45/AA45,"-"),"-")</f>
        <v/>
      </c>
      <c r="AC45" s="75" t="n"/>
      <c r="AD45" s="74" t="n"/>
      <c r="AE45" s="74">
        <f>IFERROR(IF(AD45&gt;0,AC45/AD45,"-"),"-")</f>
        <v/>
      </c>
      <c r="AF45" s="75" t="n"/>
      <c r="AG45" s="74" t="n"/>
      <c r="AH45" s="74">
        <f>IFERROR(IF(AG45&gt;0,AF45/AG45,"-"),"-")</f>
        <v/>
      </c>
      <c r="AI45" s="75" t="n"/>
      <c r="AJ45" s="74" t="n"/>
      <c r="AK45" s="74">
        <f>IFERROR(IF(AJ45&gt;0,AI45/AJ45,"-"),"-")</f>
        <v/>
      </c>
      <c r="AL45" s="75" t="n"/>
      <c r="AM45" s="74" t="n"/>
      <c r="AN45" s="74">
        <f>IFERROR(IF(AM45&gt;0,AL45/AM45,"-"),"-")</f>
        <v/>
      </c>
      <c r="AO45" s="75" t="n"/>
      <c r="AP45" s="74" t="n"/>
      <c r="AQ45" s="74">
        <f>IFERROR(IF(AP45&gt;0,AO45/AP45,"-"),"-")</f>
        <v/>
      </c>
      <c r="AR45" s="75" t="n"/>
      <c r="AS45" s="59" t="n"/>
      <c r="AT45" s="59" t="n"/>
    </row>
    <row r="46" ht="15" customHeight="1">
      <c r="A46" s="70" t="n">
        <v>36</v>
      </c>
      <c r="B46" s="71" t="inlineStr">
        <is>
          <t>Oud Collection</t>
        </is>
      </c>
      <c r="C46" s="70" t="inlineStr">
        <is>
          <t>O00001</t>
        </is>
      </c>
      <c r="D46" s="71" t="inlineStr">
        <is>
          <t>Oud Amiri</t>
        </is>
      </c>
      <c r="E46" s="70" t="n"/>
      <c r="F46" s="72">
        <f>SUM(I46:AP46)</f>
        <v/>
      </c>
      <c r="G46" s="72">
        <f>SUM(J46:AQ46)</f>
        <v/>
      </c>
      <c r="H46" s="73">
        <f>IFERROR(IF(G46&gt;0,F46/G46,"-"),"-")</f>
        <v/>
      </c>
      <c r="I46" s="74" t="n">
        <v>1</v>
      </c>
      <c r="J46" s="74">
        <f>IFERROR(IF(I46&gt;0,H46/I46,"-"),"-")</f>
        <v/>
      </c>
      <c r="K46" s="75" t="n"/>
      <c r="L46" s="74" t="n"/>
      <c r="M46" s="74">
        <f>IFERROR(IF(L46&gt;0,K46/L46,"-"),"-")</f>
        <v/>
      </c>
      <c r="N46" s="75" t="n"/>
      <c r="O46" s="74" t="n">
        <v>2</v>
      </c>
      <c r="P46" s="74">
        <f>IFERROR(IF(O46&gt;0,N46/O46,"-"),"-")</f>
        <v/>
      </c>
      <c r="Q46" s="75" t="n"/>
      <c r="R46" s="74" t="n">
        <v>2</v>
      </c>
      <c r="S46" s="74">
        <f>IFERROR(IF(R46&gt;0,Q46/R46,"-"),"-")</f>
        <v/>
      </c>
      <c r="T46" s="75" t="n"/>
      <c r="U46" s="74" t="n">
        <v>3</v>
      </c>
      <c r="V46" s="74">
        <f>IFERROR(IF(U46&gt;0,T46/U46,"-"),"-")</f>
        <v/>
      </c>
      <c r="W46" s="75" t="n"/>
      <c r="X46" s="74" t="n">
        <v>6</v>
      </c>
      <c r="Y46" s="74">
        <f>IFERROR(IF(X46&gt;0,W46/X46,"-"),"-")</f>
        <v/>
      </c>
      <c r="Z46" s="75" t="n"/>
      <c r="AA46" s="74" t="n">
        <v>4</v>
      </c>
      <c r="AB46" s="74">
        <f>IFERROR(IF(AA46&gt;0,Z46/AA46,"-"),"-")</f>
        <v/>
      </c>
      <c r="AC46" s="75" t="n"/>
      <c r="AD46" s="74" t="n"/>
      <c r="AE46" s="74">
        <f>IFERROR(IF(AD46&gt;0,AC46/AD46,"-"),"-")</f>
        <v/>
      </c>
      <c r="AF46" s="75" t="n"/>
      <c r="AG46" s="74" t="n"/>
      <c r="AH46" s="74">
        <f>IFERROR(IF(AG46&gt;0,AF46/AG46,"-"),"-")</f>
        <v/>
      </c>
      <c r="AI46" s="75" t="n"/>
      <c r="AJ46" s="74" t="n">
        <v>4</v>
      </c>
      <c r="AK46" s="74">
        <f>IFERROR(IF(AJ46&gt;0,AI46/AJ46,"-"),"-")</f>
        <v/>
      </c>
      <c r="AL46" s="75" t="n"/>
      <c r="AM46" s="74" t="n">
        <v>1</v>
      </c>
      <c r="AN46" s="74">
        <f>IFERROR(IF(AM46&gt;0,AL46/AM46,"-"),"-")</f>
        <v/>
      </c>
      <c r="AO46" s="75" t="n"/>
      <c r="AP46" s="74" t="n"/>
      <c r="AQ46" s="74">
        <f>IFERROR(IF(AP46&gt;0,AO46/AP46,"-"),"-")</f>
        <v/>
      </c>
      <c r="AR46" s="75" t="n"/>
      <c r="AS46" s="60" t="n"/>
      <c r="AT46" s="60" t="n"/>
    </row>
    <row r="47" ht="15" customHeight="1">
      <c r="A47" s="70" t="n">
        <v>37</v>
      </c>
      <c r="B47" s="71" t="inlineStr">
        <is>
          <t>Oud Collection</t>
        </is>
      </c>
      <c r="C47" s="70" t="inlineStr">
        <is>
          <t>O00002</t>
        </is>
      </c>
      <c r="D47" s="71" t="inlineStr">
        <is>
          <t>Oud Meydan</t>
        </is>
      </c>
      <c r="E47" s="70" t="n">
        <v>3</v>
      </c>
      <c r="F47" s="72">
        <f>SUM(I47:AP47)</f>
        <v/>
      </c>
      <c r="G47" s="72">
        <f>SUM(J47:AQ47)</f>
        <v/>
      </c>
      <c r="H47" s="73">
        <f>IFERROR(IF(G47&gt;0,F47/G47,"-"),"-")</f>
        <v/>
      </c>
      <c r="I47" s="74" t="n">
        <v>9</v>
      </c>
      <c r="J47" s="74">
        <f>IFERROR(IF(I47&gt;0,H47/I47,"-"),"-")</f>
        <v/>
      </c>
      <c r="K47" s="75" t="n">
        <v>3</v>
      </c>
      <c r="L47" s="74" t="n">
        <v>15</v>
      </c>
      <c r="M47" s="74">
        <f>IFERROR(IF(L47&gt;0,K47/L47,"-"),"-")</f>
        <v/>
      </c>
      <c r="N47" s="75" t="n">
        <v>3</v>
      </c>
      <c r="O47" s="74" t="n">
        <v>4</v>
      </c>
      <c r="P47" s="74">
        <f>IFERROR(IF(O47&gt;0,N47/O47,"-"),"-")</f>
        <v/>
      </c>
      <c r="Q47" s="75" t="n">
        <v>2</v>
      </c>
      <c r="R47" s="74" t="n">
        <v>11</v>
      </c>
      <c r="S47" s="74">
        <f>IFERROR(IF(R47&gt;0,Q47/R47,"-"),"-")</f>
        <v/>
      </c>
      <c r="T47" s="75" t="n">
        <v>2</v>
      </c>
      <c r="U47" s="74" t="n">
        <v>24</v>
      </c>
      <c r="V47" s="74">
        <f>IFERROR(IF(U47&gt;0,T47/U47,"-"),"-")</f>
        <v/>
      </c>
      <c r="W47" s="75" t="n">
        <v>3</v>
      </c>
      <c r="X47" s="74" t="n">
        <v>18</v>
      </c>
      <c r="Y47" s="74">
        <f>IFERROR(IF(X47&gt;0,W47/X47,"-"),"-")</f>
        <v/>
      </c>
      <c r="Z47" s="75" t="n">
        <v>4</v>
      </c>
      <c r="AA47" s="74" t="n">
        <v>16</v>
      </c>
      <c r="AB47" s="74">
        <f>IFERROR(IF(AA47&gt;0,Z47/AA47,"-"),"-")</f>
        <v/>
      </c>
      <c r="AC47" s="75" t="n">
        <v>5</v>
      </c>
      <c r="AD47" s="74" t="n"/>
      <c r="AE47" s="74">
        <f>IFERROR(IF(AD47&gt;0,AC47/AD47,"-"),"-")</f>
        <v/>
      </c>
      <c r="AF47" s="75" t="n"/>
      <c r="AG47" s="74" t="n"/>
      <c r="AH47" s="74">
        <f>IFERROR(IF(AG47&gt;0,AF47/AG47,"-"),"-")</f>
        <v/>
      </c>
      <c r="AI47" s="75" t="n">
        <v>3</v>
      </c>
      <c r="AJ47" s="74" t="n">
        <v>7</v>
      </c>
      <c r="AK47" s="74">
        <f>IFERROR(IF(AJ47&gt;0,AI47/AJ47,"-"),"-")</f>
        <v/>
      </c>
      <c r="AL47" s="75" t="n">
        <v>2</v>
      </c>
      <c r="AM47" s="74" t="n">
        <v>11</v>
      </c>
      <c r="AN47" s="74">
        <f>IFERROR(IF(AM47&gt;0,AL47/AM47,"-"),"-")</f>
        <v/>
      </c>
      <c r="AO47" s="75" t="n">
        <v>1</v>
      </c>
      <c r="AP47" s="74" t="n">
        <v>11</v>
      </c>
      <c r="AQ47" s="74">
        <f>IFERROR(IF(AP47&gt;0,AO47/AP47,"-"),"-")</f>
        <v/>
      </c>
      <c r="AR47" s="75" t="n">
        <v>3</v>
      </c>
      <c r="AS47" s="60" t="n"/>
      <c r="AT47" s="60" t="n"/>
    </row>
    <row r="48" ht="15" customHeight="1">
      <c r="A48" s="70" t="n">
        <v>38</v>
      </c>
      <c r="B48" s="71" t="inlineStr">
        <is>
          <t>Oud Collection</t>
        </is>
      </c>
      <c r="C48" s="70" t="inlineStr">
        <is>
          <t>O00003</t>
        </is>
      </c>
      <c r="D48" s="71" t="inlineStr">
        <is>
          <t>Oud Al Emarat</t>
        </is>
      </c>
      <c r="E48" s="70" t="n">
        <v>5</v>
      </c>
      <c r="F48" s="72">
        <f>SUM(I48:AP48)</f>
        <v/>
      </c>
      <c r="G48" s="72">
        <f>SUM(J48:AQ48)</f>
        <v/>
      </c>
      <c r="H48" s="73">
        <f>IFERROR(IF(G48&gt;0,F48/G48,"-"),"-")</f>
        <v/>
      </c>
      <c r="I48" s="74" t="n">
        <v>2</v>
      </c>
      <c r="J48" s="74">
        <f>IFERROR(IF(I48&gt;0,H48/I48,"-"),"-")</f>
        <v/>
      </c>
      <c r="K48" s="75" t="n">
        <v>4</v>
      </c>
      <c r="L48" s="74" t="n">
        <v>3</v>
      </c>
      <c r="M48" s="74">
        <f>IFERROR(IF(L48&gt;0,K48/L48,"-"),"-")</f>
        <v/>
      </c>
      <c r="N48" s="75" t="n">
        <v>3</v>
      </c>
      <c r="O48" s="74" t="n"/>
      <c r="P48" s="74">
        <f>IFERROR(IF(O48&gt;0,N48/O48,"-"),"-")</f>
        <v/>
      </c>
      <c r="Q48" s="75" t="n">
        <v>3</v>
      </c>
      <c r="R48" s="74" t="n">
        <v>3</v>
      </c>
      <c r="S48" s="74">
        <f>IFERROR(IF(R48&gt;0,Q48/R48,"-"),"-")</f>
        <v/>
      </c>
      <c r="T48" s="75" t="n">
        <v>3</v>
      </c>
      <c r="U48" s="74" t="n">
        <v>2</v>
      </c>
      <c r="V48" s="74">
        <f>IFERROR(IF(U48&gt;0,T48/U48,"-"),"-")</f>
        <v/>
      </c>
      <c r="W48" s="75" t="n">
        <v>4</v>
      </c>
      <c r="X48" s="74" t="n">
        <v>4</v>
      </c>
      <c r="Y48" s="74">
        <f>IFERROR(IF(X48&gt;0,W48/X48,"-"),"-")</f>
        <v/>
      </c>
      <c r="Z48" s="75" t="n">
        <v>4</v>
      </c>
      <c r="AA48" s="74" t="n">
        <v>3</v>
      </c>
      <c r="AB48" s="74">
        <f>IFERROR(IF(AA48&gt;0,Z48/AA48,"-"),"-")</f>
        <v/>
      </c>
      <c r="AC48" s="75" t="n">
        <v>5</v>
      </c>
      <c r="AD48" s="74" t="n"/>
      <c r="AE48" s="74">
        <f>IFERROR(IF(AD48&gt;0,AC48/AD48,"-"),"-")</f>
        <v/>
      </c>
      <c r="AF48" s="75" t="n"/>
      <c r="AG48" s="74" t="n"/>
      <c r="AH48" s="74">
        <f>IFERROR(IF(AG48&gt;0,AF48/AG48,"-"),"-")</f>
        <v/>
      </c>
      <c r="AI48" s="75" t="n">
        <v>3</v>
      </c>
      <c r="AJ48" s="74" t="n">
        <v>3</v>
      </c>
      <c r="AK48" s="74">
        <f>IFERROR(IF(AJ48&gt;0,AI48/AJ48,"-"),"-")</f>
        <v/>
      </c>
      <c r="AL48" s="75" t="n">
        <v>3</v>
      </c>
      <c r="AM48" s="74" t="n">
        <v>1</v>
      </c>
      <c r="AN48" s="74">
        <f>IFERROR(IF(AM48&gt;0,AL48/AM48,"-"),"-")</f>
        <v/>
      </c>
      <c r="AO48" s="75" t="n">
        <v>3</v>
      </c>
      <c r="AP48" s="74" t="n"/>
      <c r="AQ48" s="74">
        <f>IFERROR(IF(AP48&gt;0,AO48/AP48,"-"),"-")</f>
        <v/>
      </c>
      <c r="AR48" s="75" t="n">
        <v>5</v>
      </c>
      <c r="AS48" s="60" t="n"/>
      <c r="AT48" s="60" t="n"/>
    </row>
    <row r="49" ht="15" customHeight="1">
      <c r="A49" s="70" t="n">
        <v>39</v>
      </c>
      <c r="B49" s="71" t="inlineStr">
        <is>
          <t>Oud Collection</t>
        </is>
      </c>
      <c r="C49" s="70" t="inlineStr">
        <is>
          <t>O00006</t>
        </is>
      </c>
      <c r="D49" s="71" t="inlineStr">
        <is>
          <t>Oud Al Fakhamah</t>
        </is>
      </c>
      <c r="E49" s="70" t="n">
        <v>1</v>
      </c>
      <c r="F49" s="72">
        <f>SUM(I49:AP49)</f>
        <v/>
      </c>
      <c r="G49" s="72">
        <f>SUM(J49:AQ49)</f>
        <v/>
      </c>
      <c r="H49" s="73">
        <f>IFERROR(IF(G49&gt;0,F49/G49,"-"),"-")</f>
        <v/>
      </c>
      <c r="I49" s="74" t="n"/>
      <c r="J49" s="74">
        <f>IFERROR(IF(I49&gt;0,H49/I49,"-"),"-")</f>
        <v/>
      </c>
      <c r="K49" s="75" t="n">
        <v>1</v>
      </c>
      <c r="L49" s="74" t="n">
        <v>3</v>
      </c>
      <c r="M49" s="74">
        <f>IFERROR(IF(L49&gt;0,K49/L49,"-"),"-")</f>
        <v/>
      </c>
      <c r="N49" s="75" t="n"/>
      <c r="O49" s="74" t="n"/>
      <c r="P49" s="74">
        <f>IFERROR(IF(O49&gt;0,N49/O49,"-"),"-")</f>
        <v/>
      </c>
      <c r="Q49" s="75" t="n">
        <v>1</v>
      </c>
      <c r="R49" s="74" t="n">
        <v>2</v>
      </c>
      <c r="S49" s="74">
        <f>IFERROR(IF(R49&gt;0,Q49/R49,"-"),"-")</f>
        <v/>
      </c>
      <c r="T49" s="75" t="n"/>
      <c r="U49" s="74" t="n"/>
      <c r="V49" s="74">
        <f>IFERROR(IF(U49&gt;0,T49/U49,"-"),"-")</f>
        <v/>
      </c>
      <c r="W49" s="75" t="n"/>
      <c r="X49" s="74" t="n">
        <v>1</v>
      </c>
      <c r="Y49" s="74">
        <f>IFERROR(IF(X49&gt;0,W49/X49,"-"),"-")</f>
        <v/>
      </c>
      <c r="Z49" s="75" t="n"/>
      <c r="AA49" s="74" t="n">
        <v>2</v>
      </c>
      <c r="AB49" s="74">
        <f>IFERROR(IF(AA49&gt;0,Z49/AA49,"-"),"-")</f>
        <v/>
      </c>
      <c r="AC49" s="75" t="n">
        <v>1</v>
      </c>
      <c r="AD49" s="74" t="n"/>
      <c r="AE49" s="74">
        <f>IFERROR(IF(AD49&gt;0,AC49/AD49,"-"),"-")</f>
        <v/>
      </c>
      <c r="AF49" s="75" t="n"/>
      <c r="AG49" s="74" t="n"/>
      <c r="AH49" s="74">
        <f>IFERROR(IF(AG49&gt;0,AF49/AG49,"-"),"-")</f>
        <v/>
      </c>
      <c r="AI49" s="75" t="n">
        <v>1</v>
      </c>
      <c r="AJ49" s="74" t="n"/>
      <c r="AK49" s="74">
        <f>IFERROR(IF(AJ49&gt;0,AI49/AJ49,"-"),"-")</f>
        <v/>
      </c>
      <c r="AL49" s="75" t="n"/>
      <c r="AM49" s="74" t="n"/>
      <c r="AN49" s="74">
        <f>IFERROR(IF(AM49&gt;0,AL49/AM49,"-"),"-")</f>
        <v/>
      </c>
      <c r="AO49" s="75" t="n"/>
      <c r="AP49" s="74" t="n"/>
      <c r="AQ49" s="74">
        <f>IFERROR(IF(AP49&gt;0,AO49/AP49,"-"),"-")</f>
        <v/>
      </c>
      <c r="AR49" s="75" t="n"/>
      <c r="AS49" s="60" t="n"/>
      <c r="AT49" s="60" t="n"/>
    </row>
    <row r="50" ht="15" customHeight="1">
      <c r="A50" s="70" t="n">
        <v>40</v>
      </c>
      <c r="B50" s="71" t="inlineStr">
        <is>
          <t>Oud Collection</t>
        </is>
      </c>
      <c r="C50" s="70" t="inlineStr">
        <is>
          <t>O00007</t>
        </is>
      </c>
      <c r="D50" s="71" t="inlineStr">
        <is>
          <t>Oud Hindi Khas - AGARWOOD BOX -42g</t>
        </is>
      </c>
      <c r="E50" s="70" t="n"/>
      <c r="F50" s="72">
        <f>SUM(I50:AP50)</f>
        <v/>
      </c>
      <c r="G50" s="72">
        <f>SUM(J50:AQ50)</f>
        <v/>
      </c>
      <c r="H50" s="73">
        <f>IFERROR(IF(G50&gt;0,F50/G50,"-"),"-")</f>
        <v/>
      </c>
      <c r="I50" s="74" t="n"/>
      <c r="J50" s="74">
        <f>IFERROR(IF(I50&gt;0,H50/I50,"-"),"-")</f>
        <v/>
      </c>
      <c r="K50" s="75" t="n"/>
      <c r="L50" s="74" t="n"/>
      <c r="M50" s="74">
        <f>IFERROR(IF(L50&gt;0,K50/L50,"-"),"-")</f>
        <v/>
      </c>
      <c r="N50" s="75" t="n"/>
      <c r="O50" s="74" t="n"/>
      <c r="P50" s="74">
        <f>IFERROR(IF(O50&gt;0,N50/O50,"-"),"-")</f>
        <v/>
      </c>
      <c r="Q50" s="75" t="n">
        <v>1</v>
      </c>
      <c r="R50" s="74" t="n">
        <v>4</v>
      </c>
      <c r="S50" s="74">
        <f>IFERROR(IF(R50&gt;0,Q50/R50,"-"),"-")</f>
        <v/>
      </c>
      <c r="T50" s="75" t="n"/>
      <c r="U50" s="74" t="n"/>
      <c r="V50" s="74">
        <f>IFERROR(IF(U50&gt;0,T50/U50,"-"),"-")</f>
        <v/>
      </c>
      <c r="W50" s="75" t="n"/>
      <c r="X50" s="74" t="n">
        <v>1</v>
      </c>
      <c r="Y50" s="74">
        <f>IFERROR(IF(X50&gt;0,W50/X50,"-"),"-")</f>
        <v/>
      </c>
      <c r="Z50" s="75" t="n"/>
      <c r="AA50" s="74" t="n"/>
      <c r="AB50" s="74">
        <f>IFERROR(IF(AA50&gt;0,Z50/AA50,"-"),"-")</f>
        <v/>
      </c>
      <c r="AC50" s="75" t="n"/>
      <c r="AD50" s="74" t="n"/>
      <c r="AE50" s="74">
        <f>IFERROR(IF(AD50&gt;0,AC50/AD50,"-"),"-")</f>
        <v/>
      </c>
      <c r="AF50" s="75" t="n"/>
      <c r="AG50" s="74" t="n"/>
      <c r="AH50" s="74">
        <f>IFERROR(IF(AG50&gt;0,AF50/AG50,"-"),"-")</f>
        <v/>
      </c>
      <c r="AI50" s="75" t="n"/>
      <c r="AJ50" s="74" t="n"/>
      <c r="AK50" s="74">
        <f>IFERROR(IF(AJ50&gt;0,AI50/AJ50,"-"),"-")</f>
        <v/>
      </c>
      <c r="AL50" s="75" t="n"/>
      <c r="AM50" s="74" t="n"/>
      <c r="AN50" s="74">
        <f>IFERROR(IF(AM50&gt;0,AL50/AM50,"-"),"-")</f>
        <v/>
      </c>
      <c r="AO50" s="75" t="n"/>
      <c r="AP50" s="74" t="n">
        <v>1</v>
      </c>
      <c r="AQ50" s="74">
        <f>IFERROR(IF(AP50&gt;0,AO50/AP50,"-"),"-")</f>
        <v/>
      </c>
      <c r="AR50" s="75" t="n"/>
      <c r="AS50" s="60" t="n"/>
      <c r="AT50" s="60" t="n"/>
    </row>
    <row r="51" ht="15" customHeight="1">
      <c r="A51" s="70" t="n">
        <v>41</v>
      </c>
      <c r="B51" s="71" t="inlineStr">
        <is>
          <t>Oud Collection</t>
        </is>
      </c>
      <c r="C51" s="70" t="inlineStr">
        <is>
          <t>O00008</t>
        </is>
      </c>
      <c r="D51" s="71" t="inlineStr">
        <is>
          <t>Oud Hindi Malaki -AGARWOOD BOX 42g</t>
        </is>
      </c>
      <c r="E51" s="70" t="n">
        <v>1</v>
      </c>
      <c r="F51" s="72">
        <f>SUM(I51:AP51)</f>
        <v/>
      </c>
      <c r="G51" s="72">
        <f>SUM(J51:AQ51)</f>
        <v/>
      </c>
      <c r="H51" s="73">
        <f>IFERROR(IF(G51&gt;0,F51/G51,"-"),"-")</f>
        <v/>
      </c>
      <c r="I51" s="74" t="n"/>
      <c r="J51" s="74">
        <f>IFERROR(IF(I51&gt;0,H51/I51,"-"),"-")</f>
        <v/>
      </c>
      <c r="K51" s="75" t="n">
        <v>1</v>
      </c>
      <c r="L51" s="74" t="n">
        <v>1</v>
      </c>
      <c r="M51" s="74">
        <f>IFERROR(IF(L51&gt;0,K51/L51,"-"),"-")</f>
        <v/>
      </c>
      <c r="N51" s="75" t="n">
        <v>1</v>
      </c>
      <c r="O51" s="74" t="n"/>
      <c r="P51" s="74">
        <f>IFERROR(IF(O51&gt;0,N51/O51,"-"),"-")</f>
        <v/>
      </c>
      <c r="Q51" s="75" t="n">
        <v>1</v>
      </c>
      <c r="R51" s="74" t="n"/>
      <c r="S51" s="74">
        <f>IFERROR(IF(R51&gt;0,Q51/R51,"-"),"-")</f>
        <v/>
      </c>
      <c r="T51" s="75" t="n">
        <v>1</v>
      </c>
      <c r="U51" s="74" t="n"/>
      <c r="V51" s="74">
        <f>IFERROR(IF(U51&gt;0,T51/U51,"-"),"-")</f>
        <v/>
      </c>
      <c r="W51" s="75" t="n">
        <v>1</v>
      </c>
      <c r="X51" s="74" t="n"/>
      <c r="Y51" s="74">
        <f>IFERROR(IF(X51&gt;0,W51/X51,"-"),"-")</f>
        <v/>
      </c>
      <c r="Z51" s="75" t="n">
        <v>2</v>
      </c>
      <c r="AA51" s="74" t="n">
        <v>2</v>
      </c>
      <c r="AB51" s="74">
        <f>IFERROR(IF(AA51&gt;0,Z51/AA51,"-"),"-")</f>
        <v/>
      </c>
      <c r="AC51" s="75" t="n">
        <v>3</v>
      </c>
      <c r="AD51" s="74" t="n"/>
      <c r="AE51" s="74">
        <f>IFERROR(IF(AD51&gt;0,AC51/AD51,"-"),"-")</f>
        <v/>
      </c>
      <c r="AF51" s="75" t="n"/>
      <c r="AG51" s="74" t="n"/>
      <c r="AH51" s="74">
        <f>IFERROR(IF(AG51&gt;0,AF51/AG51,"-"),"-")</f>
        <v/>
      </c>
      <c r="AI51" s="75" t="n"/>
      <c r="AJ51" s="74" t="n"/>
      <c r="AK51" s="74">
        <f>IFERROR(IF(AJ51&gt;0,AI51/AJ51,"-"),"-")</f>
        <v/>
      </c>
      <c r="AL51" s="75" t="n"/>
      <c r="AM51" s="74" t="n"/>
      <c r="AN51" s="74">
        <f>IFERROR(IF(AM51&gt;0,AL51/AM51,"-"),"-")</f>
        <v/>
      </c>
      <c r="AO51" s="75" t="n">
        <v>1</v>
      </c>
      <c r="AP51" s="74" t="n">
        <v>1</v>
      </c>
      <c r="AQ51" s="74">
        <f>IFERROR(IF(AP51&gt;0,AO51/AP51,"-"),"-")</f>
        <v/>
      </c>
      <c r="AR51" s="75" t="n">
        <v>1</v>
      </c>
      <c r="AS51" s="60" t="n"/>
      <c r="AT51" s="60" t="n"/>
    </row>
    <row r="52" ht="15" customHeight="1">
      <c r="A52" s="76" t="inlineStr">
        <is>
          <t xml:space="preserve">  FUTURE COLLECTION</t>
        </is>
      </c>
      <c r="B52" s="77" t="n"/>
      <c r="C52" s="77" t="n"/>
      <c r="D52" s="77" t="n"/>
      <c r="E52" s="77" t="n"/>
      <c r="F52" s="72">
        <f>SUM(I52:AP52)</f>
        <v/>
      </c>
      <c r="G52" s="72">
        <f>SUM(J52:AQ52)</f>
        <v/>
      </c>
      <c r="H52" s="73">
        <f>IFERROR(IF(G52&gt;0,F52/G52,"-"),"-")</f>
        <v/>
      </c>
      <c r="I52" s="74" t="n"/>
      <c r="J52" s="74">
        <f>IFERROR(IF(I52&gt;0,H52/I52,"-"),"-")</f>
        <v/>
      </c>
      <c r="K52" s="75" t="n"/>
      <c r="L52" s="74" t="n">
        <v>1</v>
      </c>
      <c r="M52" s="74">
        <f>IFERROR(IF(L52&gt;0,K52/L52,"-"),"-")</f>
        <v/>
      </c>
      <c r="N52" s="75" t="n"/>
      <c r="O52" s="74" t="n"/>
      <c r="P52" s="74">
        <f>IFERROR(IF(O52&gt;0,N52/O52,"-"),"-")</f>
        <v/>
      </c>
      <c r="Q52" s="75" t="n"/>
      <c r="R52" s="74" t="n"/>
      <c r="S52" s="74">
        <f>IFERROR(IF(R52&gt;0,Q52/R52,"-"),"-")</f>
        <v/>
      </c>
      <c r="T52" s="75" t="n">
        <v>1</v>
      </c>
      <c r="U52" s="74" t="n"/>
      <c r="V52" s="74">
        <f>IFERROR(IF(U52&gt;0,T52/U52,"-"),"-")</f>
        <v/>
      </c>
      <c r="W52" s="75" t="n">
        <v>2</v>
      </c>
      <c r="X52" s="74" t="n"/>
      <c r="Y52" s="74">
        <f>IFERROR(IF(X52&gt;0,W52/X52,"-"),"-")</f>
        <v/>
      </c>
      <c r="Z52" s="75" t="n">
        <v>1</v>
      </c>
      <c r="AA52" s="74" t="n"/>
      <c r="AB52" s="74">
        <f>IFERROR(IF(AA52&gt;0,Z52/AA52,"-"),"-")</f>
        <v/>
      </c>
      <c r="AC52" s="75" t="n">
        <v>1</v>
      </c>
      <c r="AD52" s="74" t="n"/>
      <c r="AE52" s="74">
        <f>IFERROR(IF(AD52&gt;0,AC52/AD52,"-"),"-")</f>
        <v/>
      </c>
      <c r="AF52" s="75" t="n"/>
      <c r="AG52" s="74" t="n"/>
      <c r="AH52" s="74">
        <f>IFERROR(IF(AG52&gt;0,AF52/AG52,"-"),"-")</f>
        <v/>
      </c>
      <c r="AI52" s="75" t="n"/>
      <c r="AJ52" s="74" t="n"/>
      <c r="AK52" s="74">
        <f>IFERROR(IF(AJ52&gt;0,AI52/AJ52,"-"),"-")</f>
        <v/>
      </c>
      <c r="AL52" s="75" t="n"/>
      <c r="AM52" s="74" t="n"/>
      <c r="AN52" s="74">
        <f>IFERROR(IF(AM52&gt;0,AL52/AM52,"-"),"-")</f>
        <v/>
      </c>
      <c r="AO52" s="75" t="n"/>
      <c r="AP52" s="74" t="n"/>
      <c r="AQ52" s="74">
        <f>IFERROR(IF(AP52&gt;0,AO52/AP52,"-"),"-")</f>
        <v/>
      </c>
      <c r="AR52" s="75" t="n"/>
      <c r="AS52" s="59" t="n"/>
      <c r="AT52" s="59" t="n"/>
    </row>
    <row r="53" ht="15" customHeight="1">
      <c r="A53" s="70" t="n">
        <v>42</v>
      </c>
      <c r="B53" s="71" t="inlineStr">
        <is>
          <t>Future Collection</t>
        </is>
      </c>
      <c r="C53" s="70" t="inlineStr">
        <is>
          <t>SP0037</t>
        </is>
      </c>
      <c r="D53" s="71" t="inlineStr">
        <is>
          <t>Future Bakhoor 100 ml Perfume</t>
        </is>
      </c>
      <c r="E53" s="70" t="n"/>
      <c r="F53" s="72">
        <f>SUM(I53:AP53)</f>
        <v/>
      </c>
      <c r="G53" s="72">
        <f>SUM(J53:AQ53)</f>
        <v/>
      </c>
      <c r="H53" s="73">
        <f>IFERROR(IF(G53&gt;0,F53/G53,"-"),"-")</f>
        <v/>
      </c>
      <c r="I53" s="74" t="n"/>
      <c r="J53" s="74">
        <f>IFERROR(IF(I53&gt;0,H53/I53,"-"),"-")</f>
        <v/>
      </c>
      <c r="K53" s="75" t="n">
        <v>1</v>
      </c>
      <c r="L53" s="74" t="n"/>
      <c r="M53" s="74">
        <f>IFERROR(IF(L53&gt;0,K53/L53,"-"),"-")</f>
        <v/>
      </c>
      <c r="N53" s="75" t="n"/>
      <c r="O53" s="74" t="n"/>
      <c r="P53" s="74">
        <f>IFERROR(IF(O53&gt;0,N53/O53,"-"),"-")</f>
        <v/>
      </c>
      <c r="Q53" s="75" t="n"/>
      <c r="R53" s="74" t="n">
        <v>1</v>
      </c>
      <c r="S53" s="74">
        <f>IFERROR(IF(R53&gt;0,Q53/R53,"-"),"-")</f>
        <v/>
      </c>
      <c r="T53" s="75" t="n"/>
      <c r="U53" s="74" t="n"/>
      <c r="V53" s="74">
        <f>IFERROR(IF(U53&gt;0,T53/U53,"-"),"-")</f>
        <v/>
      </c>
      <c r="W53" s="75" t="n"/>
      <c r="X53" s="74" t="n"/>
      <c r="Y53" s="74">
        <f>IFERROR(IF(X53&gt;0,W53/X53,"-"),"-")</f>
        <v/>
      </c>
      <c r="Z53" s="75" t="n"/>
      <c r="AA53" s="74" t="n"/>
      <c r="AB53" s="74">
        <f>IFERROR(IF(AA53&gt;0,Z53/AA53,"-"),"-")</f>
        <v/>
      </c>
      <c r="AC53" s="75" t="n">
        <v>1</v>
      </c>
      <c r="AD53" s="74" t="n"/>
      <c r="AE53" s="74">
        <f>IFERROR(IF(AD53&gt;0,AC53/AD53,"-"),"-")</f>
        <v/>
      </c>
      <c r="AF53" s="75" t="n"/>
      <c r="AG53" s="74" t="n"/>
      <c r="AH53" s="74">
        <f>IFERROR(IF(AG53&gt;0,AF53/AG53,"-"),"-")</f>
        <v/>
      </c>
      <c r="AI53" s="75" t="n"/>
      <c r="AJ53" s="74" t="n"/>
      <c r="AK53" s="74">
        <f>IFERROR(IF(AJ53&gt;0,AI53/AJ53,"-"),"-")</f>
        <v/>
      </c>
      <c r="AL53" s="75" t="n"/>
      <c r="AM53" s="74" t="n"/>
      <c r="AN53" s="74">
        <f>IFERROR(IF(AM53&gt;0,AL53/AM53,"-"),"-")</f>
        <v/>
      </c>
      <c r="AO53" s="75" t="n"/>
      <c r="AP53" s="74" t="n"/>
      <c r="AQ53" s="74">
        <f>IFERROR(IF(AP53&gt;0,AO53/AP53,"-"),"-")</f>
        <v/>
      </c>
      <c r="AR53" s="75" t="n"/>
      <c r="AS53" s="60" t="n"/>
      <c r="AT53" s="60" t="n"/>
    </row>
    <row r="54" ht="15" customHeight="1">
      <c r="A54" s="70" t="n">
        <v>43</v>
      </c>
      <c r="B54" s="71" t="inlineStr">
        <is>
          <t>Future Collection</t>
        </is>
      </c>
      <c r="C54" s="70" t="inlineStr">
        <is>
          <t>SP0038</t>
        </is>
      </c>
      <c r="D54" s="71" t="inlineStr">
        <is>
          <t>Future Oud 100 ml Perfume</t>
        </is>
      </c>
      <c r="E54" s="70" t="n"/>
      <c r="F54" s="72">
        <f>SUM(I54:AP54)</f>
        <v/>
      </c>
      <c r="G54" s="72">
        <f>SUM(J54:AQ54)</f>
        <v/>
      </c>
      <c r="H54" s="73">
        <f>IFERROR(IF(G54&gt;0,F54/G54,"-"),"-")</f>
        <v/>
      </c>
      <c r="I54" s="74" t="n">
        <v>4</v>
      </c>
      <c r="J54" s="74">
        <f>IFERROR(IF(I54&gt;0,H54/I54,"-"),"-")</f>
        <v/>
      </c>
      <c r="K54" s="75" t="n">
        <v>1</v>
      </c>
      <c r="L54" s="74" t="n">
        <v>4</v>
      </c>
      <c r="M54" s="74">
        <f>IFERROR(IF(L54&gt;0,K54/L54,"-"),"-")</f>
        <v/>
      </c>
      <c r="N54" s="75" t="n"/>
      <c r="O54" s="74" t="n"/>
      <c r="P54" s="74">
        <f>IFERROR(IF(O54&gt;0,N54/O54,"-"),"-")</f>
        <v/>
      </c>
      <c r="Q54" s="75" t="n"/>
      <c r="R54" s="74" t="n">
        <v>2</v>
      </c>
      <c r="S54" s="74">
        <f>IFERROR(IF(R54&gt;0,Q54/R54,"-"),"-")</f>
        <v/>
      </c>
      <c r="T54" s="75" t="n"/>
      <c r="U54" s="74" t="n">
        <v>1</v>
      </c>
      <c r="V54" s="74">
        <f>IFERROR(IF(U54&gt;0,T54/U54,"-"),"-")</f>
        <v/>
      </c>
      <c r="W54" s="75" t="n"/>
      <c r="X54" s="74" t="n">
        <v>5</v>
      </c>
      <c r="Y54" s="74">
        <f>IFERROR(IF(X54&gt;0,W54/X54,"-"),"-")</f>
        <v/>
      </c>
      <c r="Z54" s="75" t="n"/>
      <c r="AA54" s="74" t="n">
        <v>1</v>
      </c>
      <c r="AB54" s="74">
        <f>IFERROR(IF(AA54&gt;0,Z54/AA54,"-"),"-")</f>
        <v/>
      </c>
      <c r="AC54" s="75" t="n">
        <v>1</v>
      </c>
      <c r="AD54" s="74" t="n"/>
      <c r="AE54" s="74">
        <f>IFERROR(IF(AD54&gt;0,AC54/AD54,"-"),"-")</f>
        <v/>
      </c>
      <c r="AF54" s="75" t="n"/>
      <c r="AG54" s="74" t="n"/>
      <c r="AH54" s="74">
        <f>IFERROR(IF(AG54&gt;0,AF54/AG54,"-"),"-")</f>
        <v/>
      </c>
      <c r="AI54" s="75" t="n"/>
      <c r="AJ54" s="74" t="n"/>
      <c r="AK54" s="74">
        <f>IFERROR(IF(AJ54&gt;0,AI54/AJ54,"-"),"-")</f>
        <v/>
      </c>
      <c r="AL54" s="75" t="n"/>
      <c r="AM54" s="74" t="n"/>
      <c r="AN54" s="74">
        <f>IFERROR(IF(AM54&gt;0,AL54/AM54,"-"),"-")</f>
        <v/>
      </c>
      <c r="AO54" s="75" t="n"/>
      <c r="AP54" s="74" t="n">
        <v>1</v>
      </c>
      <c r="AQ54" s="74">
        <f>IFERROR(IF(AP54&gt;0,AO54/AP54,"-"),"-")</f>
        <v/>
      </c>
      <c r="AR54" s="75" t="n"/>
      <c r="AS54" s="60" t="n"/>
      <c r="AT54" s="60" t="n"/>
    </row>
    <row r="55" ht="15" customHeight="1">
      <c r="A55" s="70" t="n">
        <v>44</v>
      </c>
      <c r="B55" s="71" t="inlineStr">
        <is>
          <t>Future Collection</t>
        </is>
      </c>
      <c r="C55" s="70" t="inlineStr">
        <is>
          <t>SP0040</t>
        </is>
      </c>
      <c r="D55" s="71" t="inlineStr">
        <is>
          <t>Future Mubakhar 100 ml Perfume</t>
        </is>
      </c>
      <c r="E55" s="70" t="n"/>
      <c r="F55" s="72">
        <f>SUM(I55:AP55)</f>
        <v/>
      </c>
      <c r="G55" s="72">
        <f>SUM(J55:AQ55)</f>
        <v/>
      </c>
      <c r="H55" s="73">
        <f>IFERROR(IF(G55&gt;0,F55/G55,"-"),"-")</f>
        <v/>
      </c>
      <c r="I55" s="74" t="n">
        <v>1</v>
      </c>
      <c r="J55" s="74">
        <f>IFERROR(IF(I55&gt;0,H55/I55,"-"),"-")</f>
        <v/>
      </c>
      <c r="K55" s="75" t="n">
        <v>1</v>
      </c>
      <c r="L55" s="74" t="n">
        <v>2</v>
      </c>
      <c r="M55" s="74">
        <f>IFERROR(IF(L55&gt;0,K55/L55,"-"),"-")</f>
        <v/>
      </c>
      <c r="N55" s="75" t="n"/>
      <c r="O55" s="74" t="n"/>
      <c r="P55" s="74">
        <f>IFERROR(IF(O55&gt;0,N55/O55,"-"),"-")</f>
        <v/>
      </c>
      <c r="Q55" s="75" t="n"/>
      <c r="R55" s="74" t="n"/>
      <c r="S55" s="74">
        <f>IFERROR(IF(R55&gt;0,Q55/R55,"-"),"-")</f>
        <v/>
      </c>
      <c r="T55" s="75" t="n"/>
      <c r="U55" s="74" t="n">
        <v>1</v>
      </c>
      <c r="V55" s="74">
        <f>IFERROR(IF(U55&gt;0,T55/U55,"-"),"-")</f>
        <v/>
      </c>
      <c r="W55" s="75" t="n"/>
      <c r="X55" s="74" t="n">
        <v>1</v>
      </c>
      <c r="Y55" s="74">
        <f>IFERROR(IF(X55&gt;0,W55/X55,"-"),"-")</f>
        <v/>
      </c>
      <c r="Z55" s="75" t="n"/>
      <c r="AA55" s="74" t="n">
        <v>3</v>
      </c>
      <c r="AB55" s="74">
        <f>IFERROR(IF(AA55&gt;0,Z55/AA55,"-"),"-")</f>
        <v/>
      </c>
      <c r="AC55" s="75" t="n"/>
      <c r="AD55" s="74" t="n"/>
      <c r="AE55" s="74">
        <f>IFERROR(IF(AD55&gt;0,AC55/AD55,"-"),"-")</f>
        <v/>
      </c>
      <c r="AF55" s="75" t="n"/>
      <c r="AG55" s="74" t="n"/>
      <c r="AH55" s="74">
        <f>IFERROR(IF(AG55&gt;0,AF55/AG55,"-"),"-")</f>
        <v/>
      </c>
      <c r="AI55" s="75" t="n"/>
      <c r="AJ55" s="74" t="n"/>
      <c r="AK55" s="74">
        <f>IFERROR(IF(AJ55&gt;0,AI55/AJ55,"-"),"-")</f>
        <v/>
      </c>
      <c r="AL55" s="75" t="n"/>
      <c r="AM55" s="74" t="n"/>
      <c r="AN55" s="74">
        <f>IFERROR(IF(AM55&gt;0,AL55/AM55,"-"),"-")</f>
        <v/>
      </c>
      <c r="AO55" s="75" t="n"/>
      <c r="AP55" s="74" t="n"/>
      <c r="AQ55" s="74">
        <f>IFERROR(IF(AP55&gt;0,AO55/AP55,"-"),"-")</f>
        <v/>
      </c>
      <c r="AR55" s="75" t="n"/>
      <c r="AS55" s="60" t="n"/>
      <c r="AT55" s="60" t="n"/>
    </row>
    <row r="56" ht="15" customHeight="1">
      <c r="A56" s="76" t="inlineStr">
        <is>
          <t xml:space="preserve">  SPECIAL SETS</t>
        </is>
      </c>
      <c r="B56" s="77" t="n"/>
      <c r="C56" s="77" t="n"/>
      <c r="D56" s="77" t="n"/>
      <c r="E56" s="77" t="n"/>
      <c r="F56" s="72">
        <f>SUM(I56:AP56)</f>
        <v/>
      </c>
      <c r="G56" s="72">
        <f>SUM(J56:AQ56)</f>
        <v/>
      </c>
      <c r="H56" s="73">
        <f>IFERROR(IF(G56&gt;0,F56/G56,"-"),"-")</f>
        <v/>
      </c>
      <c r="I56" s="74" t="n"/>
      <c r="J56" s="74">
        <f>IFERROR(IF(I56&gt;0,H56/I56,"-"),"-")</f>
        <v/>
      </c>
      <c r="K56" s="75" t="n"/>
      <c r="L56" s="74" t="n">
        <v>3</v>
      </c>
      <c r="M56" s="74">
        <f>IFERROR(IF(L56&gt;0,K56/L56,"-"),"-")</f>
        <v/>
      </c>
      <c r="N56" s="75" t="n"/>
      <c r="O56" s="74" t="n"/>
      <c r="P56" s="74">
        <f>IFERROR(IF(O56&gt;0,N56/O56,"-"),"-")</f>
        <v/>
      </c>
      <c r="Q56" s="75" t="n"/>
      <c r="R56" s="74" t="n">
        <v>2</v>
      </c>
      <c r="S56" s="74">
        <f>IFERROR(IF(R56&gt;0,Q56/R56,"-"),"-")</f>
        <v/>
      </c>
      <c r="T56" s="75" t="n"/>
      <c r="U56" s="74" t="n">
        <v>2</v>
      </c>
      <c r="V56" s="74">
        <f>IFERROR(IF(U56&gt;0,T56/U56,"-"),"-")</f>
        <v/>
      </c>
      <c r="W56" s="75" t="n">
        <v>1</v>
      </c>
      <c r="X56" s="74" t="n">
        <v>2</v>
      </c>
      <c r="Y56" s="74">
        <f>IFERROR(IF(X56&gt;0,W56/X56,"-"),"-")</f>
        <v/>
      </c>
      <c r="Z56" s="75" t="n">
        <v>1</v>
      </c>
      <c r="AA56" s="74" t="n">
        <v>5</v>
      </c>
      <c r="AB56" s="74">
        <f>IFERROR(IF(AA56&gt;0,Z56/AA56,"-"),"-")</f>
        <v/>
      </c>
      <c r="AC56" s="75" t="n"/>
      <c r="AD56" s="74" t="n"/>
      <c r="AE56" s="74">
        <f>IFERROR(IF(AD56&gt;0,AC56/AD56,"-"),"-")</f>
        <v/>
      </c>
      <c r="AF56" s="75" t="n"/>
      <c r="AG56" s="74" t="n"/>
      <c r="AH56" s="74">
        <f>IFERROR(IF(AG56&gt;0,AF56/AG56,"-"),"-")</f>
        <v/>
      </c>
      <c r="AI56" s="75" t="n"/>
      <c r="AJ56" s="74" t="n"/>
      <c r="AK56" s="74">
        <f>IFERROR(IF(AJ56&gt;0,AI56/AJ56,"-"),"-")</f>
        <v/>
      </c>
      <c r="AL56" s="75" t="n"/>
      <c r="AM56" s="74" t="n"/>
      <c r="AN56" s="74">
        <f>IFERROR(IF(AM56&gt;0,AL56/AM56,"-"),"-")</f>
        <v/>
      </c>
      <c r="AO56" s="75" t="n"/>
      <c r="AP56" s="74" t="n"/>
      <c r="AQ56" s="74">
        <f>IFERROR(IF(AP56&gt;0,AO56/AP56,"-"),"-")</f>
        <v/>
      </c>
      <c r="AR56" s="75" t="n"/>
      <c r="AS56" s="59" t="n"/>
      <c r="AT56" s="59" t="n"/>
    </row>
    <row r="57" ht="15" customHeight="1">
      <c r="A57" s="70" t="n">
        <v>45</v>
      </c>
      <c r="B57" s="71" t="inlineStr">
        <is>
          <t>Special Sets</t>
        </is>
      </c>
      <c r="C57" s="70" t="inlineStr">
        <is>
          <t>SP0001</t>
        </is>
      </c>
      <c r="D57" s="71" t="inlineStr">
        <is>
          <t>White Oud</t>
        </is>
      </c>
      <c r="E57" s="70" t="n"/>
      <c r="F57" s="72">
        <f>SUM(I57:AP57)</f>
        <v/>
      </c>
      <c r="G57" s="72">
        <f>SUM(J57:AQ57)</f>
        <v/>
      </c>
      <c r="H57" s="73">
        <f>IFERROR(IF(G57&gt;0,F57/G57,"-"),"-")</f>
        <v/>
      </c>
      <c r="I57" s="74" t="n">
        <v>21</v>
      </c>
      <c r="J57" s="74">
        <f>IFERROR(IF(I57&gt;0,H57/I57,"-"),"-")</f>
        <v/>
      </c>
      <c r="K57" s="75" t="n"/>
      <c r="L57" s="74" t="n">
        <v>41</v>
      </c>
      <c r="M57" s="74">
        <f>IFERROR(IF(L57&gt;0,K57/L57,"-"),"-")</f>
        <v/>
      </c>
      <c r="N57" s="75" t="n"/>
      <c r="O57" s="74" t="n">
        <v>11</v>
      </c>
      <c r="P57" s="74">
        <f>IFERROR(IF(O57&gt;0,N57/O57,"-"),"-")</f>
        <v/>
      </c>
      <c r="Q57" s="75" t="n"/>
      <c r="R57" s="74" t="n">
        <v>35</v>
      </c>
      <c r="S57" s="74">
        <f>IFERROR(IF(R57&gt;0,Q57/R57,"-"),"-")</f>
        <v/>
      </c>
      <c r="T57" s="75" t="n"/>
      <c r="U57" s="74" t="n">
        <v>32</v>
      </c>
      <c r="V57" s="74">
        <f>IFERROR(IF(U57&gt;0,T57/U57,"-"),"-")</f>
        <v/>
      </c>
      <c r="W57" s="75" t="n">
        <v>1</v>
      </c>
      <c r="X57" s="74" t="n">
        <v>37</v>
      </c>
      <c r="Y57" s="74">
        <f>IFERROR(IF(X57&gt;0,W57/X57,"-"),"-")</f>
        <v/>
      </c>
      <c r="Z57" s="75" t="n">
        <v>1</v>
      </c>
      <c r="AA57" s="74" t="n">
        <v>62</v>
      </c>
      <c r="AB57" s="74">
        <f>IFERROR(IF(AA57&gt;0,Z57/AA57,"-"),"-")</f>
        <v/>
      </c>
      <c r="AC57" s="75" t="n"/>
      <c r="AD57" s="74" t="n"/>
      <c r="AE57" s="74">
        <f>IFERROR(IF(AD57&gt;0,AC57/AD57,"-"),"-")</f>
        <v/>
      </c>
      <c r="AF57" s="75" t="n"/>
      <c r="AG57" s="74" t="n"/>
      <c r="AH57" s="74">
        <f>IFERROR(IF(AG57&gt;0,AF57/AG57,"-"),"-")</f>
        <v/>
      </c>
      <c r="AI57" s="75" t="n">
        <v>2</v>
      </c>
      <c r="AJ57" s="74" t="n">
        <v>31</v>
      </c>
      <c r="AK57" s="74">
        <f>IFERROR(IF(AJ57&gt;0,AI57/AJ57,"-"),"-")</f>
        <v/>
      </c>
      <c r="AL57" s="75" t="n"/>
      <c r="AM57" s="74" t="n">
        <v>18</v>
      </c>
      <c r="AN57" s="74">
        <f>IFERROR(IF(AM57&gt;0,AL57/AM57,"-"),"-")</f>
        <v/>
      </c>
      <c r="AO57" s="75" t="n"/>
      <c r="AP57" s="74" t="n">
        <v>23</v>
      </c>
      <c r="AQ57" s="74">
        <f>IFERROR(IF(AP57&gt;0,AO57/AP57,"-"),"-")</f>
        <v/>
      </c>
      <c r="AR57" s="75" t="n">
        <v>1</v>
      </c>
      <c r="AS57" s="60" t="n"/>
      <c r="AT57" s="60" t="n"/>
    </row>
    <row r="58" ht="15" customHeight="1">
      <c r="A58" s="70" t="n">
        <v>46</v>
      </c>
      <c r="B58" s="71" t="inlineStr">
        <is>
          <t>Special Sets</t>
        </is>
      </c>
      <c r="C58" s="70" t="inlineStr">
        <is>
          <t>SP0005</t>
        </is>
      </c>
      <c r="D58" s="71" t="inlineStr">
        <is>
          <t>No.4</t>
        </is>
      </c>
      <c r="E58" s="70" t="n"/>
      <c r="F58" s="72">
        <f>SUM(I58:AP58)</f>
        <v/>
      </c>
      <c r="G58" s="72">
        <f>SUM(J58:AQ58)</f>
        <v/>
      </c>
      <c r="H58" s="73">
        <f>IFERROR(IF(G58&gt;0,F58/G58,"-"),"-")</f>
        <v/>
      </c>
      <c r="I58" s="74" t="n">
        <v>2</v>
      </c>
      <c r="J58" s="74">
        <f>IFERROR(IF(I58&gt;0,H58/I58,"-"),"-")</f>
        <v/>
      </c>
      <c r="K58" s="75" t="n">
        <v>1</v>
      </c>
      <c r="L58" s="74" t="n">
        <v>3</v>
      </c>
      <c r="M58" s="74">
        <f>IFERROR(IF(L58&gt;0,K58/L58,"-"),"-")</f>
        <v/>
      </c>
      <c r="N58" s="75" t="n">
        <v>1</v>
      </c>
      <c r="O58" s="74" t="n"/>
      <c r="P58" s="74">
        <f>IFERROR(IF(O58&gt;0,N58/O58,"-"),"-")</f>
        <v/>
      </c>
      <c r="Q58" s="75" t="n"/>
      <c r="R58" s="74" t="n">
        <v>7</v>
      </c>
      <c r="S58" s="74">
        <f>IFERROR(IF(R58&gt;0,Q58/R58,"-"),"-")</f>
        <v/>
      </c>
      <c r="T58" s="75" t="n"/>
      <c r="U58" s="74" t="n">
        <v>1</v>
      </c>
      <c r="V58" s="74">
        <f>IFERROR(IF(U58&gt;0,T58/U58,"-"),"-")</f>
        <v/>
      </c>
      <c r="W58" s="75" t="n">
        <v>1</v>
      </c>
      <c r="X58" s="74" t="n">
        <v>6</v>
      </c>
      <c r="Y58" s="74">
        <f>IFERROR(IF(X58&gt;0,W58/X58,"-"),"-")</f>
        <v/>
      </c>
      <c r="Z58" s="75" t="n"/>
      <c r="AA58" s="74" t="n">
        <v>9</v>
      </c>
      <c r="AB58" s="74">
        <f>IFERROR(IF(AA58&gt;0,Z58/AA58,"-"),"-")</f>
        <v/>
      </c>
      <c r="AC58" s="75" t="n"/>
      <c r="AD58" s="74" t="n"/>
      <c r="AE58" s="74">
        <f>IFERROR(IF(AD58&gt;0,AC58/AD58,"-"),"-")</f>
        <v/>
      </c>
      <c r="AF58" s="75" t="n"/>
      <c r="AG58" s="74" t="n"/>
      <c r="AH58" s="74">
        <f>IFERROR(IF(AG58&gt;0,AF58/AG58,"-"),"-")</f>
        <v/>
      </c>
      <c r="AI58" s="75" t="n"/>
      <c r="AJ58" s="74" t="n">
        <v>2</v>
      </c>
      <c r="AK58" s="74">
        <f>IFERROR(IF(AJ58&gt;0,AI58/AJ58,"-"),"-")</f>
        <v/>
      </c>
      <c r="AL58" s="75" t="n"/>
      <c r="AM58" s="74" t="n"/>
      <c r="AN58" s="74">
        <f>IFERROR(IF(AM58&gt;0,AL58/AM58,"-"),"-")</f>
        <v/>
      </c>
      <c r="AO58" s="75" t="n"/>
      <c r="AP58" s="74" t="n">
        <v>2</v>
      </c>
      <c r="AQ58" s="74">
        <f>IFERROR(IF(AP58&gt;0,AO58/AP58,"-"),"-")</f>
        <v/>
      </c>
      <c r="AR58" s="75" t="n"/>
      <c r="AS58" s="60" t="n"/>
      <c r="AT58" s="60" t="n"/>
    </row>
    <row r="59" ht="15" customHeight="1">
      <c r="A59" s="70" t="n">
        <v>47</v>
      </c>
      <c r="B59" s="71" t="inlineStr">
        <is>
          <t>Special Sets</t>
        </is>
      </c>
      <c r="C59" s="70" t="inlineStr">
        <is>
          <t>SP0007</t>
        </is>
      </c>
      <c r="D59" s="71" t="inlineStr">
        <is>
          <t>Reflection -T 100 ML</t>
        </is>
      </c>
      <c r="E59" s="70" t="n"/>
      <c r="F59" s="72">
        <f>SUM(I59:AP59)</f>
        <v/>
      </c>
      <c r="G59" s="72">
        <f>SUM(J59:AQ59)</f>
        <v/>
      </c>
      <c r="H59" s="73">
        <f>IFERROR(IF(G59&gt;0,F59/G59,"-"),"-")</f>
        <v/>
      </c>
      <c r="I59" s="74" t="n">
        <v>1</v>
      </c>
      <c r="J59" s="74">
        <f>IFERROR(IF(I59&gt;0,H59/I59,"-"),"-")</f>
        <v/>
      </c>
      <c r="K59" s="75" t="n">
        <v>1</v>
      </c>
      <c r="L59" s="74" t="n">
        <v>1</v>
      </c>
      <c r="M59" s="74">
        <f>IFERROR(IF(L59&gt;0,K59/L59,"-"),"-")</f>
        <v/>
      </c>
      <c r="N59" s="75" t="n"/>
      <c r="O59" s="74" t="n"/>
      <c r="P59" s="74">
        <f>IFERROR(IF(O59&gt;0,N59/O59,"-"),"-")</f>
        <v/>
      </c>
      <c r="Q59" s="75" t="n"/>
      <c r="R59" s="74" t="n">
        <v>1</v>
      </c>
      <c r="S59" s="74">
        <f>IFERROR(IF(R59&gt;0,Q59/R59,"-"),"-")</f>
        <v/>
      </c>
      <c r="T59" s="75" t="n">
        <v>1</v>
      </c>
      <c r="U59" s="74" t="n">
        <v>2</v>
      </c>
      <c r="V59" s="74">
        <f>IFERROR(IF(U59&gt;0,T59/U59,"-"),"-")</f>
        <v/>
      </c>
      <c r="W59" s="75" t="n">
        <v>1</v>
      </c>
      <c r="X59" s="74" t="n">
        <v>2</v>
      </c>
      <c r="Y59" s="74">
        <f>IFERROR(IF(X59&gt;0,W59/X59,"-"),"-")</f>
        <v/>
      </c>
      <c r="Z59" s="75" t="n">
        <v>1</v>
      </c>
      <c r="AA59" s="74" t="n"/>
      <c r="AB59" s="74">
        <f>IFERROR(IF(AA59&gt;0,Z59/AA59,"-"),"-")</f>
        <v/>
      </c>
      <c r="AC59" s="75" t="n"/>
      <c r="AD59" s="74" t="n"/>
      <c r="AE59" s="74">
        <f>IFERROR(IF(AD59&gt;0,AC59/AD59,"-"),"-")</f>
        <v/>
      </c>
      <c r="AF59" s="75" t="n"/>
      <c r="AG59" s="74" t="n"/>
      <c r="AH59" s="74">
        <f>IFERROR(IF(AG59&gt;0,AF59/AG59,"-"),"-")</f>
        <v/>
      </c>
      <c r="AI59" s="75" t="n">
        <v>1</v>
      </c>
      <c r="AJ59" s="74" t="n"/>
      <c r="AK59" s="74">
        <f>IFERROR(IF(AJ59&gt;0,AI59/AJ59,"-"),"-")</f>
        <v/>
      </c>
      <c r="AL59" s="75" t="n"/>
      <c r="AM59" s="74" t="n"/>
      <c r="AN59" s="74">
        <f>IFERROR(IF(AM59&gt;0,AL59/AM59,"-"),"-")</f>
        <v/>
      </c>
      <c r="AO59" s="75" t="n"/>
      <c r="AP59" s="74" t="n"/>
      <c r="AQ59" s="74">
        <f>IFERROR(IF(AP59&gt;0,AO59/AP59,"-"),"-")</f>
        <v/>
      </c>
      <c r="AR59" s="75" t="n"/>
      <c r="AS59" s="60" t="n"/>
      <c r="AT59" s="60" t="n"/>
    </row>
    <row r="60" ht="15" customHeight="1">
      <c r="A60" s="70" t="n">
        <v>48</v>
      </c>
      <c r="B60" s="71" t="inlineStr">
        <is>
          <t>Special Sets</t>
        </is>
      </c>
      <c r="C60" s="70" t="inlineStr">
        <is>
          <t>SP0030</t>
        </is>
      </c>
      <c r="D60" s="71" t="inlineStr">
        <is>
          <t>Midnight Oud 30ml</t>
        </is>
      </c>
      <c r="E60" s="70" t="n">
        <v>3</v>
      </c>
      <c r="F60" s="72">
        <f>SUM(I60:AP60)</f>
        <v/>
      </c>
      <c r="G60" s="72">
        <f>SUM(J60:AQ60)</f>
        <v/>
      </c>
      <c r="H60" s="73">
        <f>IFERROR(IF(G60&gt;0,F60/G60,"-"),"-")</f>
        <v/>
      </c>
      <c r="I60" s="74" t="n"/>
      <c r="J60" s="74">
        <f>IFERROR(IF(I60&gt;0,H60/I60,"-"),"-")</f>
        <v/>
      </c>
      <c r="K60" s="75" t="n">
        <v>2</v>
      </c>
      <c r="L60" s="74" t="n">
        <v>6</v>
      </c>
      <c r="M60" s="74">
        <f>IFERROR(IF(L60&gt;0,K60/L60,"-"),"-")</f>
        <v/>
      </c>
      <c r="N60" s="75" t="n">
        <v>2</v>
      </c>
      <c r="O60" s="74" t="n">
        <v>3</v>
      </c>
      <c r="P60" s="74">
        <f>IFERROR(IF(O60&gt;0,N60/O60,"-"),"-")</f>
        <v/>
      </c>
      <c r="Q60" s="75" t="n">
        <v>2</v>
      </c>
      <c r="R60" s="74" t="n">
        <v>2</v>
      </c>
      <c r="S60" s="74">
        <f>IFERROR(IF(R60&gt;0,Q60/R60,"-"),"-")</f>
        <v/>
      </c>
      <c r="T60" s="75" t="n">
        <v>4</v>
      </c>
      <c r="U60" s="74" t="n">
        <v>6</v>
      </c>
      <c r="V60" s="74">
        <f>IFERROR(IF(U60&gt;0,T60/U60,"-"),"-")</f>
        <v/>
      </c>
      <c r="W60" s="75" t="n">
        <v>3</v>
      </c>
      <c r="X60" s="74" t="n">
        <v>1</v>
      </c>
      <c r="Y60" s="74">
        <f>IFERROR(IF(X60&gt;0,W60/X60,"-"),"-")</f>
        <v/>
      </c>
      <c r="Z60" s="75" t="n">
        <v>4</v>
      </c>
      <c r="AA60" s="74" t="n">
        <v>11</v>
      </c>
      <c r="AB60" s="74">
        <f>IFERROR(IF(AA60&gt;0,Z60/AA60,"-"),"-")</f>
        <v/>
      </c>
      <c r="AC60" s="75" t="n">
        <v>3</v>
      </c>
      <c r="AD60" s="74" t="n"/>
      <c r="AE60" s="74">
        <f>IFERROR(IF(AD60&gt;0,AC60/AD60,"-"),"-")</f>
        <v/>
      </c>
      <c r="AF60" s="75" t="n"/>
      <c r="AG60" s="74" t="n"/>
      <c r="AH60" s="74">
        <f>IFERROR(IF(AG60&gt;0,AF60/AG60,"-"),"-")</f>
        <v/>
      </c>
      <c r="AI60" s="75" t="n">
        <v>2</v>
      </c>
      <c r="AJ60" s="74" t="n">
        <v>4</v>
      </c>
      <c r="AK60" s="74">
        <f>IFERROR(IF(AJ60&gt;0,AI60/AJ60,"-"),"-")</f>
        <v/>
      </c>
      <c r="AL60" s="75" t="n">
        <v>2</v>
      </c>
      <c r="AM60" s="74" t="n">
        <v>3</v>
      </c>
      <c r="AN60" s="74">
        <f>IFERROR(IF(AM60&gt;0,AL60/AM60,"-"),"-")</f>
        <v/>
      </c>
      <c r="AO60" s="75" t="n">
        <v>2</v>
      </c>
      <c r="AP60" s="74" t="n">
        <v>4</v>
      </c>
      <c r="AQ60" s="74">
        <f>IFERROR(IF(AP60&gt;0,AO60/AP60,"-"),"-")</f>
        <v/>
      </c>
      <c r="AR60" s="75" t="n">
        <v>3</v>
      </c>
      <c r="AS60" s="60" t="n"/>
      <c r="AT60" s="60" t="n"/>
    </row>
    <row r="61" ht="15" customHeight="1">
      <c r="A61" s="76" t="inlineStr">
        <is>
          <t xml:space="preserve">  OILS &amp; CPO</t>
        </is>
      </c>
      <c r="B61" s="77" t="n"/>
      <c r="C61" s="77" t="n"/>
      <c r="D61" s="77" t="n"/>
      <c r="E61" s="77" t="n"/>
      <c r="F61" s="72">
        <f>SUM(I61:AP61)</f>
        <v/>
      </c>
      <c r="G61" s="72">
        <f>SUM(J61:AQ61)</f>
        <v/>
      </c>
      <c r="H61" s="73">
        <f>IFERROR(IF(G61&gt;0,F61/G61,"-"),"-")</f>
        <v/>
      </c>
      <c r="I61" s="74" t="n">
        <v>20</v>
      </c>
      <c r="J61" s="74">
        <f>IFERROR(IF(I61&gt;0,H61/I61,"-"),"-")</f>
        <v/>
      </c>
      <c r="K61" s="75" t="n"/>
      <c r="L61" s="74" t="n">
        <v>35</v>
      </c>
      <c r="M61" s="74">
        <f>IFERROR(IF(L61&gt;0,K61/L61,"-"),"-")</f>
        <v/>
      </c>
      <c r="N61" s="75" t="n"/>
      <c r="O61" s="74" t="n">
        <v>10</v>
      </c>
      <c r="P61" s="74">
        <f>IFERROR(IF(O61&gt;0,N61/O61,"-"),"-")</f>
        <v/>
      </c>
      <c r="Q61" s="75" t="n">
        <v>1</v>
      </c>
      <c r="R61" s="74" t="n">
        <v>36</v>
      </c>
      <c r="S61" s="74">
        <f>IFERROR(IF(R61&gt;0,Q61/R61,"-"),"-")</f>
        <v/>
      </c>
      <c r="T61" s="75" t="n"/>
      <c r="U61" s="74" t="n">
        <v>20</v>
      </c>
      <c r="V61" s="74">
        <f>IFERROR(IF(U61&gt;0,T61/U61,"-"),"-")</f>
        <v/>
      </c>
      <c r="W61" s="75" t="n"/>
      <c r="X61" s="74" t="n">
        <v>29</v>
      </c>
      <c r="Y61" s="74">
        <f>IFERROR(IF(X61&gt;0,W61/X61,"-"),"-")</f>
        <v/>
      </c>
      <c r="Z61" s="75" t="n"/>
      <c r="AA61" s="74" t="n">
        <v>39</v>
      </c>
      <c r="AB61" s="74">
        <f>IFERROR(IF(AA61&gt;0,Z61/AA61,"-"),"-")</f>
        <v/>
      </c>
      <c r="AC61" s="75" t="n"/>
      <c r="AD61" s="74" t="n"/>
      <c r="AE61" s="74">
        <f>IFERROR(IF(AD61&gt;0,AC61/AD61,"-"),"-")</f>
        <v/>
      </c>
      <c r="AF61" s="75" t="n"/>
      <c r="AG61" s="74" t="n"/>
      <c r="AH61" s="74">
        <f>IFERROR(IF(AG61&gt;0,AF61/AG61,"-"),"-")</f>
        <v/>
      </c>
      <c r="AI61" s="75" t="n"/>
      <c r="AJ61" s="74" t="n">
        <v>13</v>
      </c>
      <c r="AK61" s="74">
        <f>IFERROR(IF(AJ61&gt;0,AI61/AJ61,"-"),"-")</f>
        <v/>
      </c>
      <c r="AL61" s="75" t="n"/>
      <c r="AM61" s="74" t="n">
        <v>10</v>
      </c>
      <c r="AN61" s="74">
        <f>IFERROR(IF(AM61&gt;0,AL61/AM61,"-"),"-")</f>
        <v/>
      </c>
      <c r="AO61" s="75" t="n"/>
      <c r="AP61" s="74" t="n">
        <v>19</v>
      </c>
      <c r="AQ61" s="74">
        <f>IFERROR(IF(AP61&gt;0,AO61/AP61,"-"),"-")</f>
        <v/>
      </c>
      <c r="AR61" s="75" t="n"/>
      <c r="AS61" s="59" t="n"/>
      <c r="AT61" s="59" t="n"/>
    </row>
    <row r="62" ht="15" customHeight="1">
      <c r="A62" s="70" t="n">
        <v>49</v>
      </c>
      <c r="B62" s="71" t="inlineStr">
        <is>
          <t>Oils &amp; CPO</t>
        </is>
      </c>
      <c r="C62" s="70" t="inlineStr">
        <is>
          <t>I00001</t>
        </is>
      </c>
      <c r="D62" s="71" t="inlineStr">
        <is>
          <t>Hindi Special</t>
        </is>
      </c>
      <c r="E62" s="70" t="n"/>
      <c r="F62" s="72">
        <f>SUM(I62:AP62)</f>
        <v/>
      </c>
      <c r="G62" s="72">
        <f>SUM(J62:AQ62)</f>
        <v/>
      </c>
      <c r="H62" s="73">
        <f>IFERROR(IF(G62&gt;0,F62/G62,"-"),"-")</f>
        <v/>
      </c>
      <c r="I62" s="74" t="n">
        <v>1</v>
      </c>
      <c r="J62" s="74">
        <f>IFERROR(IF(I62&gt;0,H62/I62,"-"),"-")</f>
        <v/>
      </c>
      <c r="K62" s="75" t="n"/>
      <c r="L62" s="74" t="n">
        <v>2</v>
      </c>
      <c r="M62" s="74">
        <f>IFERROR(IF(L62&gt;0,K62/L62,"-"),"-")</f>
        <v/>
      </c>
      <c r="N62" s="75" t="n"/>
      <c r="O62" s="74" t="n"/>
      <c r="P62" s="74">
        <f>IFERROR(IF(O62&gt;0,N62/O62,"-"),"-")</f>
        <v/>
      </c>
      <c r="Q62" s="75" t="n">
        <v>1</v>
      </c>
      <c r="R62" s="74" t="n">
        <v>4</v>
      </c>
      <c r="S62" s="74">
        <f>IFERROR(IF(R62&gt;0,Q62/R62,"-"),"-")</f>
        <v/>
      </c>
      <c r="T62" s="75" t="n"/>
      <c r="U62" s="74" t="n">
        <v>8</v>
      </c>
      <c r="V62" s="74">
        <f>IFERROR(IF(U62&gt;0,T62/U62,"-"),"-")</f>
        <v/>
      </c>
      <c r="W62" s="75" t="n"/>
      <c r="X62" s="74" t="n">
        <v>5</v>
      </c>
      <c r="Y62" s="74">
        <f>IFERROR(IF(X62&gt;0,W62/X62,"-"),"-")</f>
        <v/>
      </c>
      <c r="Z62" s="75" t="n"/>
      <c r="AA62" s="74" t="n">
        <v>7</v>
      </c>
      <c r="AB62" s="74">
        <f>IFERROR(IF(AA62&gt;0,Z62/AA62,"-"),"-")</f>
        <v/>
      </c>
      <c r="AC62" s="75" t="n"/>
      <c r="AD62" s="74" t="n"/>
      <c r="AE62" s="74">
        <f>IFERROR(IF(AD62&gt;0,AC62/AD62,"-"),"-")</f>
        <v/>
      </c>
      <c r="AF62" s="75" t="n"/>
      <c r="AG62" s="74" t="n"/>
      <c r="AH62" s="74">
        <f>IFERROR(IF(AG62&gt;0,AF62/AG62,"-"),"-")</f>
        <v/>
      </c>
      <c r="AI62" s="75" t="n"/>
      <c r="AJ62" s="74" t="n"/>
      <c r="AK62" s="74">
        <f>IFERROR(IF(AJ62&gt;0,AI62/AJ62,"-"),"-")</f>
        <v/>
      </c>
      <c r="AL62" s="75" t="n"/>
      <c r="AM62" s="74" t="n">
        <v>3</v>
      </c>
      <c r="AN62" s="74">
        <f>IFERROR(IF(AM62&gt;0,AL62/AM62,"-"),"-")</f>
        <v/>
      </c>
      <c r="AO62" s="75" t="n"/>
      <c r="AP62" s="74" t="n">
        <v>1</v>
      </c>
      <c r="AQ62" s="74">
        <f>IFERROR(IF(AP62&gt;0,AO62/AP62,"-"),"-")</f>
        <v/>
      </c>
      <c r="AR62" s="75" t="n"/>
      <c r="AS62" s="60" t="n"/>
      <c r="AT62" s="60" t="n"/>
    </row>
    <row r="63" ht="15" customHeight="1">
      <c r="A63" s="70" t="n">
        <v>50</v>
      </c>
      <c r="B63" s="71" t="inlineStr">
        <is>
          <t>Oils &amp; CPO</t>
        </is>
      </c>
      <c r="C63" s="70" t="inlineStr">
        <is>
          <t>I00002</t>
        </is>
      </c>
      <c r="D63" s="71" t="inlineStr">
        <is>
          <t>Seufi Special</t>
        </is>
      </c>
      <c r="E63" s="70" t="n">
        <v>2</v>
      </c>
      <c r="F63" s="72">
        <f>SUM(I63:AP63)</f>
        <v/>
      </c>
      <c r="G63" s="72">
        <f>SUM(J63:AQ63)</f>
        <v/>
      </c>
      <c r="H63" s="73">
        <f>IFERROR(IF(G63&gt;0,F63/G63,"-"),"-")</f>
        <v/>
      </c>
      <c r="I63" s="74" t="n"/>
      <c r="J63" s="74">
        <f>IFERROR(IF(I63&gt;0,H63/I63,"-"),"-")</f>
        <v/>
      </c>
      <c r="K63" s="75" t="n"/>
      <c r="L63" s="74" t="n"/>
      <c r="M63" s="74">
        <f>IFERROR(IF(L63&gt;0,K63/L63,"-"),"-")</f>
        <v/>
      </c>
      <c r="N63" s="75" t="n"/>
      <c r="O63" s="74" t="n"/>
      <c r="P63" s="74">
        <f>IFERROR(IF(O63&gt;0,N63/O63,"-"),"-")</f>
        <v/>
      </c>
      <c r="Q63" s="75" t="n">
        <v>3</v>
      </c>
      <c r="R63" s="74" t="n"/>
      <c r="S63" s="74">
        <f>IFERROR(IF(R63&gt;0,Q63/R63,"-"),"-")</f>
        <v/>
      </c>
      <c r="T63" s="75" t="n">
        <v>1</v>
      </c>
      <c r="U63" s="74" t="n"/>
      <c r="V63" s="74">
        <f>IFERROR(IF(U63&gt;0,T63/U63,"-"),"-")</f>
        <v/>
      </c>
      <c r="W63" s="75" t="n">
        <v>2</v>
      </c>
      <c r="X63" s="74" t="n"/>
      <c r="Y63" s="74">
        <f>IFERROR(IF(X63&gt;0,W63/X63,"-"),"-")</f>
        <v/>
      </c>
      <c r="Z63" s="75" t="n">
        <v>11</v>
      </c>
      <c r="AA63" s="74" t="n"/>
      <c r="AB63" s="74">
        <f>IFERROR(IF(AA63&gt;0,Z63/AA63,"-"),"-")</f>
        <v/>
      </c>
      <c r="AC63" s="75" t="n">
        <v>2</v>
      </c>
      <c r="AD63" s="74" t="n"/>
      <c r="AE63" s="74">
        <f>IFERROR(IF(AD63&gt;0,AC63/AD63,"-"),"-")</f>
        <v/>
      </c>
      <c r="AF63" s="75" t="n"/>
      <c r="AG63" s="74" t="n"/>
      <c r="AH63" s="74">
        <f>IFERROR(IF(AG63&gt;0,AF63/AG63,"-"),"-")</f>
        <v/>
      </c>
      <c r="AI63" s="75" t="n">
        <v>1</v>
      </c>
      <c r="AJ63" s="74" t="n"/>
      <c r="AK63" s="74">
        <f>IFERROR(IF(AJ63&gt;0,AI63/AJ63,"-"),"-")</f>
        <v/>
      </c>
      <c r="AL63" s="75" t="n"/>
      <c r="AM63" s="74" t="n"/>
      <c r="AN63" s="74">
        <f>IFERROR(IF(AM63&gt;0,AL63/AM63,"-"),"-")</f>
        <v/>
      </c>
      <c r="AO63" s="75" t="n">
        <v>1</v>
      </c>
      <c r="AP63" s="74" t="n"/>
      <c r="AQ63" s="74">
        <f>IFERROR(IF(AP63&gt;0,AO63/AP63,"-"),"-")</f>
        <v/>
      </c>
      <c r="AR63" s="75" t="n">
        <v>1</v>
      </c>
      <c r="AS63" s="60" t="n"/>
      <c r="AT63" s="60" t="n"/>
    </row>
    <row r="64" ht="15" customHeight="1">
      <c r="A64" s="70" t="n">
        <v>51</v>
      </c>
      <c r="B64" s="71" t="inlineStr">
        <is>
          <t>Oils &amp; CPO</t>
        </is>
      </c>
      <c r="C64" s="70" t="inlineStr">
        <is>
          <t>I00003</t>
        </is>
      </c>
      <c r="D64" s="71" t="inlineStr">
        <is>
          <t>White Oil -8 ML</t>
        </is>
      </c>
      <c r="E64" s="70" t="n"/>
      <c r="F64" s="72">
        <f>SUM(I64:AP64)</f>
        <v/>
      </c>
      <c r="G64" s="72">
        <f>SUM(J64:AQ64)</f>
        <v/>
      </c>
      <c r="H64" s="73">
        <f>IFERROR(IF(G64&gt;0,F64/G64,"-"),"-")</f>
        <v/>
      </c>
      <c r="I64" s="74" t="n"/>
      <c r="J64" s="74">
        <f>IFERROR(IF(I64&gt;0,H64/I64,"-"),"-")</f>
        <v/>
      </c>
      <c r="K64" s="75" t="n">
        <v>1</v>
      </c>
      <c r="L64" s="74" t="n"/>
      <c r="M64" s="74">
        <f>IFERROR(IF(L64&gt;0,K64/L64,"-"),"-")</f>
        <v/>
      </c>
      <c r="N64" s="75" t="n"/>
      <c r="O64" s="74" t="n"/>
      <c r="P64" s="74">
        <f>IFERROR(IF(O64&gt;0,N64/O64,"-"),"-")</f>
        <v/>
      </c>
      <c r="Q64" s="75" t="n">
        <v>1</v>
      </c>
      <c r="R64" s="74" t="n"/>
      <c r="S64" s="74">
        <f>IFERROR(IF(R64&gt;0,Q64/R64,"-"),"-")</f>
        <v/>
      </c>
      <c r="T64" s="75" t="n">
        <v>1</v>
      </c>
      <c r="U64" s="74" t="n"/>
      <c r="V64" s="74">
        <f>IFERROR(IF(U64&gt;0,T64/U64,"-"),"-")</f>
        <v/>
      </c>
      <c r="W64" s="75" t="n"/>
      <c r="X64" s="74" t="n"/>
      <c r="Y64" s="74">
        <f>IFERROR(IF(X64&gt;0,W64/X64,"-"),"-")</f>
        <v/>
      </c>
      <c r="Z64" s="75" t="n"/>
      <c r="AA64" s="74" t="n">
        <v>1</v>
      </c>
      <c r="AB64" s="74">
        <f>IFERROR(IF(AA64&gt;0,Z64/AA64,"-"),"-")</f>
        <v/>
      </c>
      <c r="AC64" s="75" t="n">
        <v>1</v>
      </c>
      <c r="AD64" s="74" t="n"/>
      <c r="AE64" s="74">
        <f>IFERROR(IF(AD64&gt;0,AC64/AD64,"-"),"-")</f>
        <v/>
      </c>
      <c r="AF64" s="75" t="n"/>
      <c r="AG64" s="74" t="n"/>
      <c r="AH64" s="74">
        <f>IFERROR(IF(AG64&gt;0,AF64/AG64,"-"),"-")</f>
        <v/>
      </c>
      <c r="AI64" s="75" t="n"/>
      <c r="AJ64" s="74" t="n"/>
      <c r="AK64" s="74">
        <f>IFERROR(IF(AJ64&gt;0,AI64/AJ64,"-"),"-")</f>
        <v/>
      </c>
      <c r="AL64" s="75" t="n">
        <v>2</v>
      </c>
      <c r="AM64" s="74" t="n"/>
      <c r="AN64" s="74">
        <f>IFERROR(IF(AM64&gt;0,AL64/AM64,"-"),"-")</f>
        <v/>
      </c>
      <c r="AO64" s="75" t="n"/>
      <c r="AP64" s="74" t="n">
        <v>1</v>
      </c>
      <c r="AQ64" s="74">
        <f>IFERROR(IF(AP64&gt;0,AO64/AP64,"-"),"-")</f>
        <v/>
      </c>
      <c r="AR64" s="75" t="n"/>
      <c r="AS64" s="60" t="n"/>
      <c r="AT64" s="60" t="n"/>
    </row>
    <row r="65" ht="15" customHeight="1">
      <c r="A65" s="60" t="n"/>
      <c r="B65" s="69" t="n"/>
      <c r="C65" s="60" t="n"/>
      <c r="D65" s="69" t="n"/>
      <c r="E65" s="60" t="n"/>
      <c r="F65" s="60" t="n"/>
      <c r="G65" s="60" t="n"/>
      <c r="H65" s="60" t="n"/>
      <c r="I65" s="60" t="n"/>
      <c r="J65" s="60" t="n"/>
      <c r="K65" s="60" t="n"/>
      <c r="L65" s="60" t="n"/>
      <c r="M65" s="60" t="n"/>
      <c r="N65" s="60" t="n"/>
      <c r="O65" s="60" t="n"/>
      <c r="P65" s="60" t="n"/>
      <c r="Q65" s="60" t="n"/>
      <c r="R65" s="60" t="n"/>
      <c r="S65" s="60" t="n"/>
      <c r="T65" s="60" t="n"/>
      <c r="U65" s="60" t="n"/>
      <c r="V65" s="60" t="n"/>
      <c r="W65" s="60" t="n"/>
      <c r="X65" s="60" t="n"/>
      <c r="Y65" s="60" t="n"/>
      <c r="Z65" s="60" t="n"/>
      <c r="AA65" s="60" t="n"/>
      <c r="AB65" s="60" t="n"/>
      <c r="AC65" s="60" t="n"/>
      <c r="AD65" s="60" t="n"/>
      <c r="AE65" s="60" t="n"/>
      <c r="AF65" s="60" t="n"/>
      <c r="AG65" s="60" t="n"/>
      <c r="AH65" s="60" t="n"/>
      <c r="AI65" s="60" t="n"/>
      <c r="AJ65" s="60" t="n"/>
      <c r="AK65" s="60" t="n"/>
      <c r="AL65" s="60" t="n"/>
      <c r="AM65" s="60" t="n"/>
      <c r="AN65" s="60" t="n"/>
      <c r="AO65" s="60" t="n"/>
      <c r="AP65" s="60" t="n"/>
      <c r="AQ65" s="60" t="n"/>
      <c r="AR65" s="60" t="n"/>
      <c r="AS65" s="60" t="n"/>
      <c r="AT65" s="60" t="n"/>
    </row>
    <row r="66" ht="15" customHeight="1">
      <c r="A66" s="60" t="n"/>
      <c r="B66" s="69" t="n"/>
      <c r="C66" s="60" t="n"/>
      <c r="D66" s="69" t="n"/>
      <c r="E66" s="60" t="n"/>
      <c r="F66" s="60" t="n"/>
      <c r="G66" s="60" t="n"/>
      <c r="H66" s="60" t="n"/>
      <c r="I66" s="60" t="n"/>
      <c r="J66" s="60" t="n"/>
      <c r="K66" s="60" t="n"/>
      <c r="L66" s="60" t="n"/>
      <c r="M66" s="60" t="n"/>
      <c r="N66" s="60" t="n"/>
      <c r="O66" s="60" t="n"/>
      <c r="P66" s="60" t="n"/>
      <c r="Q66" s="60" t="n"/>
      <c r="R66" s="60" t="n"/>
      <c r="S66" s="60" t="n"/>
      <c r="T66" s="60" t="n"/>
      <c r="U66" s="60" t="n"/>
      <c r="V66" s="60" t="n"/>
      <c r="W66" s="60" t="n"/>
      <c r="X66" s="60" t="n"/>
      <c r="Y66" s="60" t="n"/>
      <c r="Z66" s="60" t="n"/>
      <c r="AA66" s="60" t="n"/>
      <c r="AB66" s="60" t="n"/>
      <c r="AC66" s="60" t="n"/>
      <c r="AD66" s="60" t="n"/>
      <c r="AE66" s="60" t="n"/>
      <c r="AF66" s="60" t="n"/>
      <c r="AG66" s="60" t="n"/>
      <c r="AH66" s="60" t="n"/>
      <c r="AI66" s="60" t="n"/>
      <c r="AJ66" s="60" t="n"/>
      <c r="AK66" s="60" t="n"/>
      <c r="AL66" s="60" t="n"/>
      <c r="AM66" s="60" t="n"/>
      <c r="AN66" s="60" t="n"/>
      <c r="AO66" s="60" t="n"/>
      <c r="AP66" s="60" t="n"/>
      <c r="AQ66" s="60" t="n"/>
      <c r="AR66" s="60" t="n"/>
      <c r="AS66" s="60" t="n"/>
      <c r="AT66" s="60" t="n"/>
    </row>
    <row r="67" ht="15" customHeight="1">
      <c r="A67" s="68" t="n"/>
      <c r="B67" s="59" t="n"/>
      <c r="C67" s="59" t="n"/>
      <c r="D67" s="59" t="n"/>
      <c r="E67" s="59" t="n"/>
      <c r="F67" s="59" t="n"/>
      <c r="G67" s="59" t="n"/>
      <c r="H67" s="59" t="n"/>
      <c r="I67" s="59" t="n"/>
      <c r="J67" s="59" t="n"/>
      <c r="K67" s="59" t="n"/>
      <c r="L67" s="59" t="n"/>
      <c r="M67" s="59" t="n"/>
      <c r="N67" s="59" t="n"/>
      <c r="O67" s="59" t="n"/>
      <c r="P67" s="59" t="n"/>
      <c r="Q67" s="59" t="n"/>
      <c r="R67" s="59" t="n"/>
      <c r="S67" s="59" t="n"/>
      <c r="T67" s="59" t="n"/>
      <c r="U67" s="59" t="n"/>
      <c r="V67" s="59" t="n"/>
      <c r="W67" s="59" t="n"/>
      <c r="X67" s="59" t="n"/>
      <c r="Y67" s="59" t="n"/>
      <c r="Z67" s="59" t="n"/>
      <c r="AA67" s="59" t="n"/>
      <c r="AB67" s="59" t="n"/>
      <c r="AC67" s="59" t="n"/>
      <c r="AD67" s="59" t="n"/>
      <c r="AE67" s="59" t="n"/>
      <c r="AF67" s="59" t="n"/>
      <c r="AG67" s="59" t="n"/>
      <c r="AH67" s="59" t="n"/>
      <c r="AI67" s="59" t="n"/>
      <c r="AJ67" s="59" t="n"/>
      <c r="AK67" s="59" t="n"/>
      <c r="AL67" s="59" t="n"/>
      <c r="AM67" s="59" t="n"/>
      <c r="AN67" s="59" t="n"/>
      <c r="AO67" s="59" t="n"/>
      <c r="AP67" s="59" t="n"/>
      <c r="AQ67" s="59" t="n"/>
      <c r="AR67" s="59" t="n"/>
      <c r="AS67" s="59" t="n"/>
      <c r="AT67" s="59" t="n"/>
    </row>
    <row r="68" ht="15" customHeight="1">
      <c r="A68" s="60" t="n"/>
      <c r="B68" s="69" t="n"/>
      <c r="C68" s="60" t="n"/>
      <c r="D68" s="69" t="n"/>
      <c r="E68" s="60" t="n"/>
      <c r="F68" s="60" t="n"/>
      <c r="G68" s="60" t="n"/>
      <c r="H68" s="60" t="n"/>
      <c r="I68" s="60" t="n"/>
      <c r="J68" s="60" t="n"/>
      <c r="K68" s="60" t="n"/>
      <c r="L68" s="60" t="n"/>
      <c r="M68" s="60" t="n"/>
      <c r="N68" s="60" t="n"/>
      <c r="O68" s="60" t="n"/>
      <c r="P68" s="60" t="n"/>
      <c r="Q68" s="60" t="n"/>
      <c r="R68" s="60" t="n"/>
      <c r="S68" s="60" t="n"/>
      <c r="T68" s="60" t="n"/>
      <c r="U68" s="60" t="n"/>
      <c r="V68" s="60" t="n"/>
      <c r="W68" s="60" t="n"/>
      <c r="X68" s="60" t="n"/>
      <c r="Y68" s="60" t="n"/>
      <c r="Z68" s="60" t="n"/>
      <c r="AA68" s="60" t="n"/>
      <c r="AB68" s="60" t="n"/>
      <c r="AC68" s="60" t="n"/>
      <c r="AD68" s="60" t="n"/>
      <c r="AE68" s="60" t="n"/>
      <c r="AF68" s="60" t="n"/>
      <c r="AG68" s="60" t="n"/>
      <c r="AH68" s="60" t="n"/>
      <c r="AI68" s="60" t="n"/>
      <c r="AJ68" s="60" t="n"/>
      <c r="AK68" s="60" t="n"/>
      <c r="AL68" s="60" t="n"/>
      <c r="AM68" s="60" t="n"/>
      <c r="AN68" s="60" t="n"/>
      <c r="AO68" s="60" t="n"/>
      <c r="AP68" s="60" t="n"/>
      <c r="AQ68" s="60" t="n"/>
      <c r="AR68" s="60" t="n"/>
      <c r="AS68" s="60" t="n"/>
      <c r="AT68" s="60" t="n"/>
    </row>
    <row r="69" ht="15" customHeight="1">
      <c r="A69" s="60" t="n"/>
      <c r="B69" s="69" t="n"/>
      <c r="C69" s="60" t="n"/>
      <c r="D69" s="69" t="n"/>
      <c r="E69" s="60" t="n"/>
      <c r="F69" s="60" t="n"/>
      <c r="G69" s="60" t="n"/>
      <c r="H69" s="60" t="n"/>
      <c r="I69" s="60" t="n"/>
      <c r="J69" s="60" t="n"/>
      <c r="K69" s="60" t="n"/>
      <c r="L69" s="60" t="n"/>
      <c r="M69" s="60" t="n"/>
      <c r="N69" s="60" t="n"/>
      <c r="O69" s="60" t="n"/>
      <c r="P69" s="60" t="n"/>
      <c r="Q69" s="60" t="n"/>
      <c r="R69" s="60" t="n"/>
      <c r="S69" s="60" t="n"/>
      <c r="T69" s="60" t="n"/>
      <c r="U69" s="60" t="n"/>
      <c r="V69" s="60" t="n"/>
      <c r="W69" s="60" t="n"/>
      <c r="X69" s="60" t="n"/>
      <c r="Y69" s="60" t="n"/>
      <c r="Z69" s="60" t="n"/>
      <c r="AA69" s="60" t="n"/>
      <c r="AB69" s="60" t="n"/>
      <c r="AC69" s="60" t="n"/>
      <c r="AD69" s="60" t="n"/>
      <c r="AE69" s="60" t="n"/>
      <c r="AF69" s="60" t="n"/>
      <c r="AG69" s="60" t="n"/>
      <c r="AH69" s="60" t="n"/>
      <c r="AI69" s="60" t="n"/>
      <c r="AJ69" s="60" t="n"/>
      <c r="AK69" s="60" t="n"/>
      <c r="AL69" s="60" t="n"/>
      <c r="AM69" s="60" t="n"/>
      <c r="AN69" s="60" t="n"/>
      <c r="AO69" s="60" t="n"/>
      <c r="AP69" s="60" t="n"/>
      <c r="AQ69" s="60" t="n"/>
      <c r="AR69" s="60" t="n"/>
      <c r="AS69" s="60" t="n"/>
      <c r="AT69" s="60" t="n"/>
    </row>
  </sheetData>
  <mergeCells count="14">
    <mergeCell ref="AA3"/>
    <mergeCell ref="AG3"/>
    <mergeCell ref="AM3"/>
    <mergeCell ref="A2:AZ2"/>
    <mergeCell ref="AD3"/>
    <mergeCell ref="O3"/>
    <mergeCell ref="AP3"/>
    <mergeCell ref="L3"/>
    <mergeCell ref="X3"/>
    <mergeCell ref="A1:AZ1"/>
    <mergeCell ref="AJ3"/>
    <mergeCell ref="I3"/>
    <mergeCell ref="U3"/>
    <mergeCell ref="R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A237E"/>
    <outlinePr summaryBelow="1" summaryRight="1"/>
    <pageSetUpPr/>
  </sheetPr>
  <dimension ref="A1:AZ64"/>
  <sheetViews>
    <sheetView showGridLines="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2" customWidth="1" min="4" max="4"/>
    <col width="25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7.5" customWidth="1" min="18" max="18"/>
    <col width="9" customWidth="1" min="19" max="19"/>
  </cols>
  <sheetData>
    <row r="1" ht="25" customHeight="1">
      <c r="A1" s="55" t="inlineStr">
        <is>
          <t>EMIRATES PRIDE PERFUMES | TESTER CONSUMPTION | MAY 2026 | IMAD</t>
        </is>
      </c>
    </row>
    <row r="2" ht="14" customHeight="1">
      <c r="A2" s="56" t="inlineStr">
        <is>
          <t>T=Testers Dispatched (blue) | S=Sales Generated (green) | Contrib%=Contribution %</t>
        </is>
      </c>
    </row>
    <row r="3" ht="30" customHeight="1">
      <c r="A3" s="57" t="inlineStr">
        <is>
          <t>#</t>
        </is>
      </c>
      <c r="B3" s="57" t="inlineStr">
        <is>
          <t>Category</t>
        </is>
      </c>
      <c r="C3" s="57" t="inlineStr">
        <is>
          <t>Sub-Category</t>
        </is>
      </c>
      <c r="D3" s="57" t="inlineStr">
        <is>
          <t>SKU Code</t>
        </is>
      </c>
      <c r="E3" s="57" t="inlineStr">
        <is>
          <t>Product Name</t>
        </is>
      </c>
      <c r="F3" s="57" t="inlineStr">
        <is>
          <t>Grand Total
Testers</t>
        </is>
      </c>
      <c r="G3" s="57" t="inlineStr">
        <is>
          <t>Grand Total
Sales</t>
        </is>
      </c>
      <c r="H3" s="57" t="inlineStr">
        <is>
          <t>Grand Total
Contrib%</t>
        </is>
      </c>
      <c r="I3" s="58" t="inlineStr">
        <is>
          <t>Mirdif CC</t>
        </is>
      </c>
      <c r="J3" s="59" t="n"/>
      <c r="K3" s="60" t="n"/>
      <c r="L3" s="58" t="inlineStr">
        <is>
          <t>Dubai Hills</t>
        </is>
      </c>
      <c r="M3" s="59" t="n"/>
      <c r="N3" s="60" t="n"/>
      <c r="O3" s="58" t="inlineStr">
        <is>
          <t>Dubai Fest City</t>
        </is>
      </c>
      <c r="P3" s="59" t="n"/>
      <c r="Q3" s="60" t="n"/>
      <c r="R3" s="59" t="n"/>
      <c r="S3" s="59" t="n"/>
    </row>
    <row r="4" ht="44" customHeight="1">
      <c r="A4" s="61" t="n"/>
      <c r="B4" s="61" t="n"/>
      <c r="C4" s="61" t="n"/>
      <c r="D4" s="61" t="n"/>
      <c r="E4" s="61" t="n"/>
      <c r="F4" s="61" t="inlineStr">
        <is>
          <t>T</t>
        </is>
      </c>
      <c r="G4" s="61" t="inlineStr">
        <is>
          <t>S</t>
        </is>
      </c>
      <c r="H4" s="61" t="inlineStr">
        <is>
          <t>Contrib%</t>
        </is>
      </c>
      <c r="I4" s="62" t="inlineStr">
        <is>
          <t>T</t>
        </is>
      </c>
      <c r="J4" s="62" t="inlineStr">
        <is>
          <t>S</t>
        </is>
      </c>
      <c r="K4" s="62" t="inlineStr">
        <is>
          <t>Contrib%</t>
        </is>
      </c>
      <c r="L4" s="62" t="inlineStr">
        <is>
          <t>T</t>
        </is>
      </c>
      <c r="M4" s="62" t="inlineStr">
        <is>
          <t>S</t>
        </is>
      </c>
      <c r="N4" s="62" t="inlineStr">
        <is>
          <t>Contrib%</t>
        </is>
      </c>
      <c r="O4" s="62" t="inlineStr">
        <is>
          <t>T</t>
        </is>
      </c>
      <c r="P4" s="62" t="inlineStr">
        <is>
          <t>S</t>
        </is>
      </c>
      <c r="Q4" s="62" t="inlineStr">
        <is>
          <t>Contrib%</t>
        </is>
      </c>
      <c r="R4" s="60" t="n"/>
      <c r="S4" s="60" t="n"/>
    </row>
    <row r="5" ht="20" customHeight="1">
      <c r="A5" s="63" t="inlineStr">
        <is>
          <t>GRAND TOTAL</t>
        </is>
      </c>
      <c r="B5" s="59" t="n"/>
      <c r="C5" s="59" t="n"/>
      <c r="D5" s="59" t="n"/>
      <c r="E5" s="60" t="n"/>
      <c r="F5" s="64">
        <f>SUM(F12:F64)</f>
        <v/>
      </c>
      <c r="G5" s="64">
        <f>SUM(G12:G64)</f>
        <v/>
      </c>
      <c r="H5" s="65">
        <f>IFERROR(IF(G5&gt;0,F5/G5,"-"),"-")</f>
        <v/>
      </c>
      <c r="I5" s="66">
        <f>SUM(I12:I64)</f>
        <v/>
      </c>
      <c r="J5" s="66">
        <f>SUM(J12:J64)</f>
        <v/>
      </c>
      <c r="K5" s="67">
        <f>IFERROR(IF(J5&gt;0,I5/J5,"-"),"-")</f>
        <v/>
      </c>
      <c r="L5" s="66">
        <f>SUM(L12:L64)</f>
        <v/>
      </c>
      <c r="M5" s="66">
        <f>SUM(M12:M64)</f>
        <v/>
      </c>
      <c r="N5" s="67">
        <f>IFERROR(IF(M5&gt;0,L5/M5,"-"),"-")</f>
        <v/>
      </c>
      <c r="O5" s="66">
        <f>SUM(O12:O64)</f>
        <v/>
      </c>
      <c r="P5" s="66">
        <f>SUM(P12:P64)</f>
        <v/>
      </c>
      <c r="Q5" s="67">
        <f>IFERROR(IF(P5&gt;0,O5/P5,"-"),"-")</f>
        <v/>
      </c>
      <c r="R5" s="60" t="n"/>
      <c r="S5" s="60" t="n"/>
    </row>
    <row r="6" ht="15" customHeight="1">
      <c r="A6" s="68" t="n"/>
      <c r="B6" s="59" t="n"/>
      <c r="C6" s="59" t="n"/>
      <c r="D6" s="59" t="n"/>
      <c r="E6" s="59" t="n"/>
      <c r="F6" s="59" t="n"/>
      <c r="G6" s="59" t="n"/>
      <c r="H6" s="59" t="n"/>
      <c r="I6" s="59" t="n"/>
      <c r="J6" s="59" t="n"/>
      <c r="K6" s="59" t="n"/>
      <c r="L6" s="59" t="n"/>
      <c r="M6" s="59" t="n"/>
      <c r="N6" s="59" t="n"/>
      <c r="O6" s="59" t="n"/>
      <c r="P6" s="59" t="n"/>
      <c r="Q6" s="59" t="n"/>
      <c r="R6" s="59" t="n"/>
      <c r="S6" s="59" t="n"/>
    </row>
    <row r="7" ht="15" customHeight="1">
      <c r="A7" s="60" t="n"/>
      <c r="B7" s="69" t="n"/>
      <c r="C7" s="60" t="n"/>
      <c r="D7" s="69" t="n"/>
      <c r="E7" s="60" t="n"/>
      <c r="F7" s="60" t="n"/>
      <c r="G7" s="60" t="n"/>
      <c r="H7" s="60" t="n"/>
      <c r="I7" s="60" t="n"/>
      <c r="J7" s="60" t="n"/>
      <c r="K7" s="60" t="n"/>
      <c r="L7" s="60" t="n"/>
      <c r="M7" s="60" t="n"/>
      <c r="N7" s="60" t="n"/>
      <c r="O7" s="60" t="n"/>
      <c r="P7" s="60" t="n"/>
      <c r="Q7" s="60" t="n"/>
      <c r="R7" s="60" t="n"/>
      <c r="S7" s="60" t="n"/>
    </row>
    <row r="8" ht="15" customHeight="1">
      <c r="A8" s="60" t="n"/>
      <c r="B8" s="69" t="n"/>
      <c r="C8" s="60" t="n"/>
      <c r="D8" s="69" t="n"/>
      <c r="E8" s="60" t="n"/>
      <c r="F8" s="60" t="n"/>
      <c r="G8" s="60" t="n"/>
      <c r="H8" s="60" t="n"/>
      <c r="I8" s="60" t="n"/>
      <c r="J8" s="60" t="n"/>
      <c r="K8" s="60" t="n"/>
      <c r="L8" s="60" t="n"/>
      <c r="M8" s="60" t="n"/>
      <c r="N8" s="60" t="n"/>
      <c r="O8" s="60" t="n"/>
      <c r="P8" s="60" t="n"/>
      <c r="Q8" s="60" t="n"/>
      <c r="R8" s="60" t="n"/>
      <c r="S8" s="60" t="n"/>
    </row>
    <row r="9" ht="15" customHeight="1">
      <c r="A9" s="60" t="n"/>
      <c r="B9" s="69" t="n"/>
      <c r="C9" s="60" t="n"/>
      <c r="D9" s="69" t="n"/>
      <c r="E9" s="60" t="n"/>
      <c r="F9" s="60" t="n"/>
      <c r="G9" s="60" t="n"/>
      <c r="H9" s="60" t="n"/>
      <c r="I9" s="60" t="n"/>
      <c r="J9" s="60" t="n"/>
      <c r="K9" s="60" t="n"/>
      <c r="L9" s="60" t="n"/>
      <c r="M9" s="60" t="n"/>
      <c r="N9" s="60" t="n"/>
      <c r="O9" s="60" t="n"/>
      <c r="P9" s="60" t="n"/>
      <c r="Q9" s="60" t="n"/>
      <c r="R9" s="60" t="n"/>
      <c r="S9" s="60" t="n"/>
    </row>
    <row r="10" ht="15" customHeight="1">
      <c r="A10" s="60" t="n"/>
      <c r="B10" s="69" t="n"/>
      <c r="C10" s="60" t="n"/>
      <c r="D10" s="69" t="n"/>
      <c r="E10" s="60" t="n"/>
      <c r="F10" s="60" t="n"/>
      <c r="G10" s="60" t="n"/>
      <c r="H10" s="60" t="n"/>
      <c r="I10" s="60" t="n"/>
      <c r="J10" s="60" t="n"/>
      <c r="K10" s="60" t="n"/>
      <c r="L10" s="60" t="n"/>
      <c r="M10" s="60" t="n"/>
      <c r="N10" s="60" t="n"/>
      <c r="O10" s="60" t="n"/>
      <c r="P10" s="60" t="n"/>
      <c r="Q10" s="60" t="n"/>
      <c r="R10" s="60" t="n"/>
      <c r="S10" s="60" t="n"/>
    </row>
    <row r="11" ht="15" customHeight="1">
      <c r="A11" s="60" t="n"/>
      <c r="B11" s="69" t="n"/>
      <c r="C11" s="60" t="n"/>
      <c r="D11" s="69" t="n"/>
      <c r="E11" s="60" t="n"/>
      <c r="F11" s="60" t="n"/>
      <c r="G11" s="60" t="n"/>
      <c r="H11" s="60" t="n"/>
      <c r="I11" s="60" t="n"/>
      <c r="J11" s="60" t="n"/>
      <c r="K11" s="60" t="n"/>
      <c r="L11" s="60" t="n"/>
      <c r="M11" s="60" t="n"/>
      <c r="N11" s="60" t="n"/>
      <c r="O11" s="60" t="n"/>
      <c r="P11" s="60" t="n"/>
      <c r="Q11" s="60" t="n"/>
      <c r="R11" s="60" t="n"/>
      <c r="S11" s="60" t="n"/>
    </row>
    <row r="12" ht="15" customHeight="1">
      <c r="A12" s="70" t="n">
        <v>6</v>
      </c>
      <c r="B12" s="71" t="inlineStr">
        <is>
          <t>Heritage Collection</t>
        </is>
      </c>
      <c r="C12" s="70" t="inlineStr">
        <is>
          <t>HR0006</t>
        </is>
      </c>
      <c r="D12" s="71" t="inlineStr">
        <is>
          <t>Safeena - Heritage Collection</t>
        </is>
      </c>
      <c r="E12" s="70" t="n"/>
      <c r="F12" s="72">
        <f>SUM(I12:O12)</f>
        <v/>
      </c>
      <c r="G12" s="72">
        <f>SUM(J12:P12)</f>
        <v/>
      </c>
      <c r="H12" s="73">
        <f>IFERROR(IF(G12&gt;0,F12/G12,"-"),"-")</f>
        <v/>
      </c>
      <c r="I12" s="74" t="n">
        <v>11</v>
      </c>
      <c r="J12" s="74">
        <f>IFERROR(IF(I12&gt;0,H12/I12,"-"),"-")</f>
        <v/>
      </c>
      <c r="K12" s="75" t="n"/>
      <c r="L12" s="74" t="n">
        <v>4</v>
      </c>
      <c r="M12" s="74">
        <f>IFERROR(IF(L12&gt;0,K12/L12,"-"),"-")</f>
        <v/>
      </c>
      <c r="N12" s="75" t="n"/>
      <c r="O12" s="74" t="n">
        <v>16</v>
      </c>
      <c r="P12" s="74">
        <f>IFERROR(IF(O12&gt;0,N12/O12,"-"),"-")</f>
        <v/>
      </c>
      <c r="Q12" s="75" t="n">
        <v>0</v>
      </c>
      <c r="R12" s="60" t="n"/>
      <c r="S12" s="60" t="n"/>
    </row>
    <row r="13" ht="15" customHeight="1">
      <c r="A13" s="70" t="n">
        <v>7</v>
      </c>
      <c r="B13" s="71" t="inlineStr">
        <is>
          <t>Heritage Collection</t>
        </is>
      </c>
      <c r="C13" s="70" t="inlineStr">
        <is>
          <t>HR0007</t>
        </is>
      </c>
      <c r="D13" s="71" t="inlineStr">
        <is>
          <t>Dallah- Heritage Collection</t>
        </is>
      </c>
      <c r="E13" s="70" t="n">
        <v>1</v>
      </c>
      <c r="F13" s="72">
        <f>SUM(I13:O13)</f>
        <v/>
      </c>
      <c r="G13" s="72">
        <f>SUM(J13:P13)</f>
        <v/>
      </c>
      <c r="H13" s="73">
        <f>IFERROR(IF(G13&gt;0,F13/G13,"-"),"-")</f>
        <v/>
      </c>
      <c r="I13" s="74" t="n">
        <v>33</v>
      </c>
      <c r="J13" s="74">
        <f>IFERROR(IF(I13&gt;0,H13/I13,"-"),"-")</f>
        <v/>
      </c>
      <c r="K13" s="75" t="n">
        <v>3</v>
      </c>
      <c r="L13" s="74" t="n">
        <v>24</v>
      </c>
      <c r="M13" s="74">
        <f>IFERROR(IF(L13&gt;0,K13/L13,"-"),"-")</f>
        <v/>
      </c>
      <c r="N13" s="75" t="n">
        <v>1</v>
      </c>
      <c r="O13" s="74" t="n">
        <v>21</v>
      </c>
      <c r="P13" s="74">
        <f>IFERROR(IF(O13&gt;0,N13/O13,"-"),"-")</f>
        <v/>
      </c>
      <c r="Q13" s="75" t="n">
        <v>0</v>
      </c>
      <c r="R13" s="60" t="n"/>
      <c r="S13" s="60" t="n"/>
    </row>
    <row r="14" ht="15" customHeight="1">
      <c r="A14" s="76" t="inlineStr">
        <is>
          <t xml:space="preserve">  BEL COLLECTIONS</t>
        </is>
      </c>
      <c r="B14" s="77" t="n"/>
      <c r="C14" s="77" t="n"/>
      <c r="D14" s="77" t="n"/>
      <c r="E14" s="77" t="n"/>
      <c r="F14" s="72">
        <f>SUM(I14:O14)</f>
        <v/>
      </c>
      <c r="G14" s="72">
        <f>SUM(J14:P14)</f>
        <v/>
      </c>
      <c r="H14" s="73">
        <f>IFERROR(IF(G14&gt;0,F14/G14,"-"),"-")</f>
        <v/>
      </c>
      <c r="I14" s="74" t="n">
        <v>1</v>
      </c>
      <c r="J14" s="74">
        <f>IFERROR(IF(I14&gt;0,H14/I14,"-"),"-")</f>
        <v/>
      </c>
      <c r="K14" s="75" t="n"/>
      <c r="L14" s="74" t="n">
        <v>1</v>
      </c>
      <c r="M14" s="74">
        <f>IFERROR(IF(L14&gt;0,K14/L14,"-"),"-")</f>
        <v/>
      </c>
      <c r="N14" s="75" t="n"/>
      <c r="O14" s="74" t="n">
        <v>1</v>
      </c>
      <c r="P14" s="74">
        <f>IFERROR(IF(O14&gt;0,N14/O14,"-"),"-")</f>
        <v/>
      </c>
      <c r="Q14" s="75" t="n"/>
      <c r="R14" s="59" t="n"/>
      <c r="S14" s="59" t="n"/>
    </row>
    <row r="15" ht="15" customHeight="1">
      <c r="A15" s="70" t="n">
        <v>8</v>
      </c>
      <c r="B15" s="71" t="inlineStr">
        <is>
          <t>Bel Collections</t>
        </is>
      </c>
      <c r="C15" s="70" t="inlineStr">
        <is>
          <t>B00001</t>
        </is>
      </c>
      <c r="D15" s="71" t="inlineStr">
        <is>
          <t>Bergamot bel Amber</t>
        </is>
      </c>
      <c r="E15" s="70" t="n">
        <v>2</v>
      </c>
      <c r="F15" s="72">
        <f>SUM(I15:O15)</f>
        <v/>
      </c>
      <c r="G15" s="72">
        <f>SUM(J15:P15)</f>
        <v/>
      </c>
      <c r="H15" s="73">
        <f>IFERROR(IF(G15&gt;0,F15/G15,"-"),"-")</f>
        <v/>
      </c>
      <c r="I15" s="74" t="n">
        <v>14</v>
      </c>
      <c r="J15" s="74">
        <f>IFERROR(IF(I15&gt;0,H15/I15,"-"),"-")</f>
        <v/>
      </c>
      <c r="K15" s="75" t="n">
        <v>4</v>
      </c>
      <c r="L15" s="74" t="n">
        <v>43</v>
      </c>
      <c r="M15" s="74">
        <f>IFERROR(IF(L15&gt;0,K15/L15,"-"),"-")</f>
        <v/>
      </c>
      <c r="N15" s="75" t="n">
        <v>1</v>
      </c>
      <c r="O15" s="74" t="n">
        <v>13</v>
      </c>
      <c r="P15" s="74">
        <f>IFERROR(IF(O15&gt;0,N15/O15,"-"),"-")</f>
        <v/>
      </c>
      <c r="Q15" s="75" t="n">
        <v>0</v>
      </c>
      <c r="R15" s="60" t="n"/>
      <c r="S15" s="60" t="n"/>
    </row>
    <row r="16" ht="15" customHeight="1">
      <c r="A16" s="70" t="n">
        <v>9</v>
      </c>
      <c r="B16" s="71" t="inlineStr">
        <is>
          <t>Bel Collections</t>
        </is>
      </c>
      <c r="C16" s="70" t="inlineStr">
        <is>
          <t>B00002</t>
        </is>
      </c>
      <c r="D16" s="71" t="inlineStr">
        <is>
          <t>Jasmin bel Musk</t>
        </is>
      </c>
      <c r="E16" s="70" t="n">
        <v>9</v>
      </c>
      <c r="F16" s="72">
        <f>SUM(I16:O16)</f>
        <v/>
      </c>
      <c r="G16" s="72">
        <f>SUM(J16:P16)</f>
        <v/>
      </c>
      <c r="H16" s="73">
        <f>IFERROR(IF(G16&gt;0,F16/G16,"-"),"-")</f>
        <v/>
      </c>
      <c r="I16" s="74" t="n">
        <v>73</v>
      </c>
      <c r="J16" s="74">
        <f>IFERROR(IF(I16&gt;0,H16/I16,"-"),"-")</f>
        <v/>
      </c>
      <c r="K16" s="75" t="n">
        <v>17</v>
      </c>
      <c r="L16" s="74" t="n">
        <v>136</v>
      </c>
      <c r="M16" s="74">
        <f>IFERROR(IF(L16&gt;0,K16/L16,"-"),"-")</f>
        <v/>
      </c>
      <c r="N16" s="75" t="n">
        <v>7</v>
      </c>
      <c r="O16" s="74" t="n">
        <v>63</v>
      </c>
      <c r="P16" s="74">
        <f>IFERROR(IF(O16&gt;0,N16/O16,"-"),"-")</f>
        <v/>
      </c>
      <c r="Q16" s="75" t="n">
        <v>0</v>
      </c>
      <c r="R16" s="60" t="n"/>
      <c r="S16" s="60" t="n"/>
    </row>
    <row r="17" ht="15" customHeight="1">
      <c r="A17" s="70" t="n">
        <v>10</v>
      </c>
      <c r="B17" s="71" t="inlineStr">
        <is>
          <t>Bel Collections</t>
        </is>
      </c>
      <c r="C17" s="70" t="inlineStr">
        <is>
          <t>B00005</t>
        </is>
      </c>
      <c r="D17" s="71" t="inlineStr">
        <is>
          <t>Mystery</t>
        </is>
      </c>
      <c r="E17" s="70" t="n">
        <v>1</v>
      </c>
      <c r="F17" s="72">
        <f>SUM(I17:O17)</f>
        <v/>
      </c>
      <c r="G17" s="72">
        <f>SUM(J17:P17)</f>
        <v/>
      </c>
      <c r="H17" s="73">
        <f>IFERROR(IF(G17&gt;0,F17/G17,"-"),"-")</f>
        <v/>
      </c>
      <c r="I17" s="74" t="n">
        <v>8</v>
      </c>
      <c r="J17" s="74">
        <f>IFERROR(IF(I17&gt;0,H17/I17,"-"),"-")</f>
        <v/>
      </c>
      <c r="K17" s="75" t="n">
        <v>1</v>
      </c>
      <c r="L17" s="74" t="n">
        <v>9</v>
      </c>
      <c r="M17" s="74">
        <f>IFERROR(IF(L17&gt;0,K17/L17,"-"),"-")</f>
        <v/>
      </c>
      <c r="N17" s="75" t="n"/>
      <c r="O17" s="74" t="n">
        <v>5</v>
      </c>
      <c r="P17" s="74">
        <f>IFERROR(IF(O17&gt;0,N17/O17,"-"),"-")</f>
        <v/>
      </c>
      <c r="Q17" s="75" t="n">
        <v>0</v>
      </c>
      <c r="R17" s="60" t="n"/>
      <c r="S17" s="60" t="n"/>
    </row>
    <row r="18" ht="15" customHeight="1">
      <c r="A18" s="70" t="n">
        <v>11</v>
      </c>
      <c r="B18" s="71" t="inlineStr">
        <is>
          <t>Bel Collections</t>
        </is>
      </c>
      <c r="C18" s="70" t="inlineStr">
        <is>
          <t>B00007</t>
        </is>
      </c>
      <c r="D18" s="71" t="inlineStr">
        <is>
          <t>Peaceful Life</t>
        </is>
      </c>
      <c r="E18" s="70" t="n">
        <v>1</v>
      </c>
      <c r="F18" s="72">
        <f>SUM(I18:O18)</f>
        <v/>
      </c>
      <c r="G18" s="72">
        <f>SUM(J18:P18)</f>
        <v/>
      </c>
      <c r="H18" s="73">
        <f>IFERROR(IF(G18&gt;0,F18/G18,"-"),"-")</f>
        <v/>
      </c>
      <c r="I18" s="74" t="n">
        <v>2</v>
      </c>
      <c r="J18" s="74">
        <f>IFERROR(IF(I18&gt;0,H18/I18,"-"),"-")</f>
        <v/>
      </c>
      <c r="K18" s="75" t="n">
        <v>1</v>
      </c>
      <c r="L18" s="74" t="n">
        <v>9</v>
      </c>
      <c r="M18" s="74">
        <f>IFERROR(IF(L18&gt;0,K18/L18,"-"),"-")</f>
        <v/>
      </c>
      <c r="N18" s="75" t="n">
        <v>1</v>
      </c>
      <c r="O18" s="74" t="n">
        <v>3</v>
      </c>
      <c r="P18" s="74">
        <f>IFERROR(IF(O18&gt;0,N18/O18,"-"),"-")</f>
        <v/>
      </c>
      <c r="Q18" s="75" t="n">
        <v>0</v>
      </c>
      <c r="R18" s="60" t="n"/>
      <c r="S18" s="60" t="n"/>
    </row>
    <row r="19" ht="15" customHeight="1">
      <c r="A19" s="70" t="n">
        <v>12</v>
      </c>
      <c r="B19" s="71" t="inlineStr">
        <is>
          <t>Bel Collections</t>
        </is>
      </c>
      <c r="C19" s="70" t="inlineStr">
        <is>
          <t>B00008</t>
        </is>
      </c>
      <c r="D19" s="71" t="inlineStr">
        <is>
          <t>Midnight Glow</t>
        </is>
      </c>
      <c r="E19" s="70" t="n">
        <v>10</v>
      </c>
      <c r="F19" s="72">
        <f>SUM(I19:O19)</f>
        <v/>
      </c>
      <c r="G19" s="72">
        <f>SUM(J19:P19)</f>
        <v/>
      </c>
      <c r="H19" s="73">
        <f>IFERROR(IF(G19&gt;0,F19/G19,"-"),"-")</f>
        <v/>
      </c>
      <c r="I19" s="74" t="n">
        <v>52</v>
      </c>
      <c r="J19" s="74">
        <f>IFERROR(IF(I19&gt;0,H19/I19,"-"),"-")</f>
        <v/>
      </c>
      <c r="K19" s="75" t="n">
        <v>22</v>
      </c>
      <c r="L19" s="74" t="n">
        <v>97</v>
      </c>
      <c r="M19" s="74">
        <f>IFERROR(IF(L19&gt;0,K19/L19,"-"),"-")</f>
        <v/>
      </c>
      <c r="N19" s="75" t="n">
        <v>5</v>
      </c>
      <c r="O19" s="74" t="n">
        <v>45</v>
      </c>
      <c r="P19" s="74">
        <f>IFERROR(IF(O19&gt;0,N19/O19,"-"),"-")</f>
        <v/>
      </c>
      <c r="Q19" s="75" t="n">
        <v>0</v>
      </c>
      <c r="R19" s="60" t="n"/>
      <c r="S19" s="60" t="n"/>
    </row>
    <row r="20" ht="15" customHeight="1">
      <c r="A20" s="70" t="n">
        <v>13</v>
      </c>
      <c r="B20" s="71" t="inlineStr">
        <is>
          <t>Bel Collections</t>
        </is>
      </c>
      <c r="C20" s="70" t="inlineStr">
        <is>
          <t>B00010</t>
        </is>
      </c>
      <c r="D20" s="71" t="inlineStr">
        <is>
          <t>Sakura</t>
        </is>
      </c>
      <c r="E20" s="70" t="n">
        <v>1</v>
      </c>
      <c r="F20" s="72">
        <f>SUM(I20:O20)</f>
        <v/>
      </c>
      <c r="G20" s="72">
        <f>SUM(J20:P20)</f>
        <v/>
      </c>
      <c r="H20" s="73">
        <f>IFERROR(IF(G20&gt;0,F20/G20,"-"),"-")</f>
        <v/>
      </c>
      <c r="I20" s="74" t="n">
        <v>9</v>
      </c>
      <c r="J20" s="74">
        <f>IFERROR(IF(I20&gt;0,H20/I20,"-"),"-")</f>
        <v/>
      </c>
      <c r="K20" s="75" t="n">
        <v>1</v>
      </c>
      <c r="L20" s="74" t="n">
        <v>10</v>
      </c>
      <c r="M20" s="74">
        <f>IFERROR(IF(L20&gt;0,K20/L20,"-"),"-")</f>
        <v/>
      </c>
      <c r="N20" s="75" t="n"/>
      <c r="O20" s="74" t="n">
        <v>6</v>
      </c>
      <c r="P20" s="74">
        <f>IFERROR(IF(O20&gt;0,N20/O20,"-"),"-")</f>
        <v/>
      </c>
      <c r="Q20" s="75" t="n">
        <v>0</v>
      </c>
      <c r="R20" s="60" t="n"/>
      <c r="S20" s="60" t="n"/>
    </row>
    <row r="21" ht="15" customHeight="1">
      <c r="A21" s="70" t="n">
        <v>14</v>
      </c>
      <c r="B21" s="71" t="inlineStr">
        <is>
          <t>Bel Collections</t>
        </is>
      </c>
      <c r="C21" s="70" t="inlineStr">
        <is>
          <t>B00012</t>
        </is>
      </c>
      <c r="D21" s="71" t="inlineStr">
        <is>
          <t>Ambergris</t>
        </is>
      </c>
      <c r="E21" s="70" t="n">
        <v>1</v>
      </c>
      <c r="F21" s="72">
        <f>SUM(I21:O21)</f>
        <v/>
      </c>
      <c r="G21" s="72">
        <f>SUM(J21:P21)</f>
        <v/>
      </c>
      <c r="H21" s="73">
        <f>IFERROR(IF(G21&gt;0,F21/G21,"-"),"-")</f>
        <v/>
      </c>
      <c r="I21" s="74" t="n">
        <v>13</v>
      </c>
      <c r="J21" s="74">
        <f>IFERROR(IF(I21&gt;0,H21/I21,"-"),"-")</f>
        <v/>
      </c>
      <c r="K21" s="75" t="n">
        <v>6</v>
      </c>
      <c r="L21" s="74" t="n">
        <v>12</v>
      </c>
      <c r="M21" s="74">
        <f>IFERROR(IF(L21&gt;0,K21/L21,"-"),"-")</f>
        <v/>
      </c>
      <c r="N21" s="75" t="n">
        <v>1</v>
      </c>
      <c r="O21" s="74" t="n">
        <v>7</v>
      </c>
      <c r="P21" s="74">
        <f>IFERROR(IF(O21&gt;0,N21/O21,"-"),"-")</f>
        <v/>
      </c>
      <c r="Q21" s="75" t="n">
        <v>0</v>
      </c>
      <c r="R21" s="60" t="n"/>
      <c r="S21" s="60" t="n"/>
    </row>
    <row r="22" ht="15" customHeight="1">
      <c r="A22" s="70" t="n">
        <v>15</v>
      </c>
      <c r="B22" s="71" t="inlineStr">
        <is>
          <t>Bel Collections</t>
        </is>
      </c>
      <c r="C22" s="70" t="inlineStr">
        <is>
          <t>B00015</t>
        </is>
      </c>
      <c r="D22" s="71" t="inlineStr">
        <is>
          <t>Hidden Leather</t>
        </is>
      </c>
      <c r="E22" s="70" t="n">
        <v>2</v>
      </c>
      <c r="F22" s="72">
        <f>SUM(I22:O22)</f>
        <v/>
      </c>
      <c r="G22" s="72">
        <f>SUM(J22:P22)</f>
        <v/>
      </c>
      <c r="H22" s="73">
        <f>IFERROR(IF(G22&gt;0,F22/G22,"-"),"-")</f>
        <v/>
      </c>
      <c r="I22" s="74" t="n">
        <v>6</v>
      </c>
      <c r="J22" s="74">
        <f>IFERROR(IF(I22&gt;0,H22/I22,"-"),"-")</f>
        <v/>
      </c>
      <c r="K22" s="75" t="n">
        <v>5</v>
      </c>
      <c r="L22" s="74" t="n">
        <v>26</v>
      </c>
      <c r="M22" s="74">
        <f>IFERROR(IF(L22&gt;0,K22/L22,"-"),"-")</f>
        <v/>
      </c>
      <c r="N22" s="75" t="n">
        <v>2</v>
      </c>
      <c r="O22" s="74" t="n">
        <v>15</v>
      </c>
      <c r="P22" s="74">
        <f>IFERROR(IF(O22&gt;0,N22/O22,"-"),"-")</f>
        <v/>
      </c>
      <c r="Q22" s="75" t="n">
        <v>0</v>
      </c>
      <c r="R22" s="60" t="n"/>
      <c r="S22" s="60" t="n"/>
    </row>
    <row r="23" ht="15" customHeight="1">
      <c r="A23" s="70" t="n">
        <v>16</v>
      </c>
      <c r="B23" s="71" t="inlineStr">
        <is>
          <t>Bel Collections</t>
        </is>
      </c>
      <c r="C23" s="70" t="inlineStr">
        <is>
          <t>B00016</t>
        </is>
      </c>
      <c r="D23" s="71" t="inlineStr">
        <is>
          <t>Mysterious Rose</t>
        </is>
      </c>
      <c r="E23" s="70" t="n">
        <v>5</v>
      </c>
      <c r="F23" s="72">
        <f>SUM(I23:O23)</f>
        <v/>
      </c>
      <c r="G23" s="72">
        <f>SUM(J23:P23)</f>
        <v/>
      </c>
      <c r="H23" s="73">
        <f>IFERROR(IF(G23&gt;0,F23/G23,"-"),"-")</f>
        <v/>
      </c>
      <c r="I23" s="74" t="n">
        <v>36</v>
      </c>
      <c r="J23" s="74">
        <f>IFERROR(IF(I23&gt;0,H23/I23,"-"),"-")</f>
        <v/>
      </c>
      <c r="K23" s="75" t="n">
        <v>4</v>
      </c>
      <c r="L23" s="74" t="n">
        <v>30</v>
      </c>
      <c r="M23" s="74">
        <f>IFERROR(IF(L23&gt;0,K23/L23,"-"),"-")</f>
        <v/>
      </c>
      <c r="N23" s="75" t="n">
        <v>1</v>
      </c>
      <c r="O23" s="74" t="n">
        <v>44</v>
      </c>
      <c r="P23" s="74">
        <f>IFERROR(IF(O23&gt;0,N23/O23,"-"),"-")</f>
        <v/>
      </c>
      <c r="Q23" s="75" t="n">
        <v>0</v>
      </c>
      <c r="R23" s="60" t="n"/>
      <c r="S23" s="60" t="n"/>
    </row>
    <row r="24" ht="15" customHeight="1">
      <c r="A24" s="70" t="n">
        <v>17</v>
      </c>
      <c r="B24" s="71" t="inlineStr">
        <is>
          <t>Bel Collections</t>
        </is>
      </c>
      <c r="C24" s="70" t="inlineStr">
        <is>
          <t>B00017</t>
        </is>
      </c>
      <c r="D24" s="71" t="inlineStr">
        <is>
          <t>Thekrayat</t>
        </is>
      </c>
      <c r="E24" s="70" t="n">
        <v>3</v>
      </c>
      <c r="F24" s="72">
        <f>SUM(I24:O24)</f>
        <v/>
      </c>
      <c r="G24" s="72">
        <f>SUM(J24:P24)</f>
        <v/>
      </c>
      <c r="H24" s="73">
        <f>IFERROR(IF(G24&gt;0,F24/G24,"-"),"-")</f>
        <v/>
      </c>
      <c r="I24" s="74" t="n">
        <v>31</v>
      </c>
      <c r="J24" s="74">
        <f>IFERROR(IF(I24&gt;0,H24/I24,"-"),"-")</f>
        <v/>
      </c>
      <c r="K24" s="75" t="n">
        <v>2</v>
      </c>
      <c r="L24" s="74" t="n">
        <v>36</v>
      </c>
      <c r="M24" s="74">
        <f>IFERROR(IF(L24&gt;0,K24/L24,"-"),"-")</f>
        <v/>
      </c>
      <c r="N24" s="75" t="n">
        <v>2</v>
      </c>
      <c r="O24" s="74" t="n">
        <v>41</v>
      </c>
      <c r="P24" s="74">
        <f>IFERROR(IF(O24&gt;0,N24/O24,"-"),"-")</f>
        <v/>
      </c>
      <c r="Q24" s="75" t="n">
        <v>0</v>
      </c>
      <c r="R24" s="60" t="n"/>
      <c r="S24" s="60" t="n"/>
    </row>
    <row r="25" ht="15" customHeight="1">
      <c r="A25" s="70" t="n">
        <v>18</v>
      </c>
      <c r="B25" s="71" t="inlineStr">
        <is>
          <t>Bel Collections</t>
        </is>
      </c>
      <c r="C25" s="70" t="inlineStr">
        <is>
          <t>B00018</t>
        </is>
      </c>
      <c r="D25" s="71" t="inlineStr">
        <is>
          <t>Hidden Tobacco</t>
        </is>
      </c>
      <c r="E25" s="70" t="n">
        <v>4</v>
      </c>
      <c r="F25" s="72">
        <f>SUM(I25:O25)</f>
        <v/>
      </c>
      <c r="G25" s="72">
        <f>SUM(J25:P25)</f>
        <v/>
      </c>
      <c r="H25" s="73">
        <f>IFERROR(IF(G25&gt;0,F25/G25,"-"),"-")</f>
        <v/>
      </c>
      <c r="I25" s="74" t="n">
        <v>55</v>
      </c>
      <c r="J25" s="74">
        <f>IFERROR(IF(I25&gt;0,H25/I25,"-"),"-")</f>
        <v/>
      </c>
      <c r="K25" s="75" t="n">
        <v>9</v>
      </c>
      <c r="L25" s="74" t="n">
        <v>109</v>
      </c>
      <c r="M25" s="74">
        <f>IFERROR(IF(L25&gt;0,K25/L25,"-"),"-")</f>
        <v/>
      </c>
      <c r="N25" s="75" t="n">
        <v>8</v>
      </c>
      <c r="O25" s="74" t="n">
        <v>71</v>
      </c>
      <c r="P25" s="74">
        <f>IFERROR(IF(O25&gt;0,N25/O25,"-"),"-")</f>
        <v/>
      </c>
      <c r="Q25" s="75" t="n">
        <v>0</v>
      </c>
      <c r="R25" s="60" t="n"/>
      <c r="S25" s="60" t="n"/>
    </row>
    <row r="26" ht="15" customHeight="1">
      <c r="A26" s="70" t="n">
        <v>19</v>
      </c>
      <c r="B26" s="71" t="inlineStr">
        <is>
          <t>Bel Collections</t>
        </is>
      </c>
      <c r="C26" s="70" t="inlineStr">
        <is>
          <t>B00019</t>
        </is>
      </c>
      <c r="D26" s="71" t="inlineStr">
        <is>
          <t>Masters Perfume 100ml</t>
        </is>
      </c>
      <c r="E26" s="70" t="n"/>
      <c r="F26" s="72">
        <f>SUM(I26:O26)</f>
        <v/>
      </c>
      <c r="G26" s="72">
        <f>SUM(J26:P26)</f>
        <v/>
      </c>
      <c r="H26" s="73">
        <f>IFERROR(IF(G26&gt;0,F26/G26,"-"),"-")</f>
        <v/>
      </c>
      <c r="I26" s="74" t="n"/>
      <c r="J26" s="74">
        <f>IFERROR(IF(I26&gt;0,H26/I26,"-"),"-")</f>
        <v/>
      </c>
      <c r="K26" s="75" t="n"/>
      <c r="L26" s="74" t="n"/>
      <c r="M26" s="74">
        <f>IFERROR(IF(L26&gt;0,K26/L26,"-"),"-")</f>
        <v/>
      </c>
      <c r="N26" s="75" t="n"/>
      <c r="O26" s="74" t="n"/>
      <c r="P26" s="74">
        <f>IFERROR(IF(O26&gt;0,N26/O26,"-"),"-")</f>
        <v/>
      </c>
      <c r="Q26" s="75" t="n">
        <v>0</v>
      </c>
      <c r="R26" s="60" t="n"/>
      <c r="S26" s="60" t="n"/>
    </row>
    <row r="27" ht="15" customHeight="1">
      <c r="A27" s="70" t="n">
        <v>20</v>
      </c>
      <c r="B27" s="71" t="inlineStr">
        <is>
          <t>Bel Collections</t>
        </is>
      </c>
      <c r="C27" s="70" t="inlineStr">
        <is>
          <t>B00020</t>
        </is>
      </c>
      <c r="D27" s="71" t="inlineStr">
        <is>
          <t>Masters Signature 100ml Perfume - Tester</t>
        </is>
      </c>
      <c r="E27" s="70" t="n">
        <v>1</v>
      </c>
      <c r="F27" s="72">
        <f>SUM(I27:O27)</f>
        <v/>
      </c>
      <c r="G27" s="72">
        <f>SUM(J27:P27)</f>
        <v/>
      </c>
      <c r="H27" s="73">
        <f>IFERROR(IF(G27&gt;0,F27/G27,"-"),"-")</f>
        <v/>
      </c>
      <c r="I27" s="74" t="n"/>
      <c r="J27" s="74">
        <f>IFERROR(IF(I27&gt;0,H27/I27,"-"),"-")</f>
        <v/>
      </c>
      <c r="K27" s="75" t="n">
        <v>1</v>
      </c>
      <c r="L27" s="74" t="n"/>
      <c r="M27" s="74">
        <f>IFERROR(IF(L27&gt;0,K27/L27,"-"),"-")</f>
        <v/>
      </c>
      <c r="N27" s="75" t="n">
        <v>1</v>
      </c>
      <c r="O27" s="74" t="n"/>
      <c r="P27" s="74">
        <f>IFERROR(IF(O27&gt;0,N27/O27,"-"),"-")</f>
        <v/>
      </c>
      <c r="Q27" s="75" t="n">
        <v>0</v>
      </c>
      <c r="R27" s="60" t="n"/>
      <c r="S27" s="60" t="n"/>
    </row>
    <row r="28" ht="15" customHeight="1">
      <c r="A28" s="70" t="n">
        <v>21</v>
      </c>
      <c r="B28" s="71" t="inlineStr">
        <is>
          <t>Bel Collections</t>
        </is>
      </c>
      <c r="C28" s="70" t="inlineStr">
        <is>
          <t>B00021</t>
        </is>
      </c>
      <c r="D28" s="71" t="inlineStr">
        <is>
          <t>Midnight Bloom 100 ML</t>
        </is>
      </c>
      <c r="E28" s="70" t="n">
        <v>1</v>
      </c>
      <c r="F28" s="72">
        <f>SUM(I28:O28)</f>
        <v/>
      </c>
      <c r="G28" s="72">
        <f>SUM(J28:P28)</f>
        <v/>
      </c>
      <c r="H28" s="73">
        <f>IFERROR(IF(G28&gt;0,F28/G28,"-"),"-")</f>
        <v/>
      </c>
      <c r="I28" s="74" t="n">
        <v>61</v>
      </c>
      <c r="J28" s="74">
        <f>IFERROR(IF(I28&gt;0,H28/I28,"-"),"-")</f>
        <v/>
      </c>
      <c r="K28" s="75" t="n"/>
      <c r="L28" s="74" t="n">
        <v>115</v>
      </c>
      <c r="M28" s="74">
        <f>IFERROR(IF(L28&gt;0,K28/L28,"-"),"-")</f>
        <v/>
      </c>
      <c r="N28" s="75" t="n"/>
      <c r="O28" s="74" t="n">
        <v>52</v>
      </c>
      <c r="P28" s="74">
        <f>IFERROR(IF(O28&gt;0,N28/O28,"-"),"-")</f>
        <v/>
      </c>
      <c r="Q28" s="75" t="n">
        <v>0</v>
      </c>
      <c r="R28" s="60" t="n"/>
      <c r="S28" s="60" t="n"/>
    </row>
    <row r="29" ht="15" customHeight="1">
      <c r="A29" s="76" t="inlineStr">
        <is>
          <t xml:space="preserve">  CABALLO COLLECTION</t>
        </is>
      </c>
      <c r="B29" s="77" t="n"/>
      <c r="C29" s="77" t="n"/>
      <c r="D29" s="77" t="n"/>
      <c r="E29" s="77" t="n">
        <v>1</v>
      </c>
      <c r="F29" s="72">
        <f>SUM(I29:O29)</f>
        <v/>
      </c>
      <c r="G29" s="72">
        <f>SUM(J29:P29)</f>
        <v/>
      </c>
      <c r="H29" s="73">
        <f>IFERROR(IF(G29&gt;0,F29/G29,"-"),"-")</f>
        <v/>
      </c>
      <c r="I29" s="74" t="n">
        <v>6</v>
      </c>
      <c r="J29" s="74">
        <f>IFERROR(IF(I29&gt;0,H29/I29,"-"),"-")</f>
        <v/>
      </c>
      <c r="K29" s="75" t="n">
        <v>1</v>
      </c>
      <c r="L29" s="74" t="n">
        <v>10</v>
      </c>
      <c r="M29" s="74">
        <f>IFERROR(IF(L29&gt;0,K29/L29,"-"),"-")</f>
        <v/>
      </c>
      <c r="N29" s="75" t="n">
        <v>1</v>
      </c>
      <c r="O29" s="74" t="n">
        <v>5</v>
      </c>
      <c r="P29" s="74">
        <f>IFERROR(IF(O29&gt;0,N29/O29,"-"),"-")</f>
        <v/>
      </c>
      <c r="Q29" s="75" t="n"/>
      <c r="R29" s="59" t="n"/>
      <c r="S29" s="59" t="n"/>
    </row>
    <row r="30" ht="15" customHeight="1">
      <c r="A30" s="70" t="n">
        <v>22</v>
      </c>
      <c r="B30" s="71" t="inlineStr">
        <is>
          <t>Caballo Collection</t>
        </is>
      </c>
      <c r="C30" s="70" t="inlineStr">
        <is>
          <t>C00002</t>
        </is>
      </c>
      <c r="D30" s="71" t="inlineStr">
        <is>
          <t>White Perfume 100 ML</t>
        </is>
      </c>
      <c r="E30" s="70" t="n"/>
      <c r="F30" s="72">
        <f>SUM(I30:O30)</f>
        <v/>
      </c>
      <c r="G30" s="72">
        <f>SUM(J30:P30)</f>
        <v/>
      </c>
      <c r="H30" s="73">
        <f>IFERROR(IF(G30&gt;0,F30/G30,"-"),"-")</f>
        <v/>
      </c>
      <c r="I30" s="74" t="n">
        <v>1</v>
      </c>
      <c r="J30" s="74">
        <f>IFERROR(IF(I30&gt;0,H30/I30,"-"),"-")</f>
        <v/>
      </c>
      <c r="K30" s="75" t="n"/>
      <c r="L30" s="74" t="n">
        <v>10</v>
      </c>
      <c r="M30" s="74">
        <f>IFERROR(IF(L30&gt;0,K30/L30,"-"),"-")</f>
        <v/>
      </c>
      <c r="N30" s="75" t="n">
        <v>1</v>
      </c>
      <c r="O30" s="74" t="n">
        <v>6</v>
      </c>
      <c r="P30" s="74">
        <f>IFERROR(IF(O30&gt;0,N30/O30,"-"),"-")</f>
        <v/>
      </c>
      <c r="Q30" s="75" t="n">
        <v>0</v>
      </c>
      <c r="R30" s="60" t="n"/>
      <c r="S30" s="60" t="n"/>
    </row>
    <row r="31" ht="15" customHeight="1">
      <c r="A31" s="70" t="n">
        <v>23</v>
      </c>
      <c r="B31" s="71" t="inlineStr">
        <is>
          <t>Caballo Collection</t>
        </is>
      </c>
      <c r="C31" s="70" t="inlineStr">
        <is>
          <t>C00004</t>
        </is>
      </c>
      <c r="D31" s="71" t="inlineStr">
        <is>
          <t>Maroon Perfume 100 ML</t>
        </is>
      </c>
      <c r="E31" s="70" t="n"/>
      <c r="F31" s="72">
        <f>SUM(I31:O31)</f>
        <v/>
      </c>
      <c r="G31" s="72">
        <f>SUM(J31:P31)</f>
        <v/>
      </c>
      <c r="H31" s="73">
        <f>IFERROR(IF(G31&gt;0,F31/G31,"-"),"-")</f>
        <v/>
      </c>
      <c r="I31" s="74" t="n"/>
      <c r="J31" s="74">
        <f>IFERROR(IF(I31&gt;0,H31/I31,"-"),"-")</f>
        <v/>
      </c>
      <c r="K31" s="75" t="n"/>
      <c r="L31" s="74" t="n">
        <v>3</v>
      </c>
      <c r="M31" s="74">
        <f>IFERROR(IF(L31&gt;0,K31/L31,"-"),"-")</f>
        <v/>
      </c>
      <c r="N31" s="75" t="n"/>
      <c r="O31" s="74" t="n"/>
      <c r="P31" s="74">
        <f>IFERROR(IF(O31&gt;0,N31/O31,"-"),"-")</f>
        <v/>
      </c>
      <c r="Q31" s="75" t="n">
        <v>0</v>
      </c>
      <c r="R31" s="60" t="n"/>
      <c r="S31" s="60" t="n"/>
    </row>
    <row r="32" ht="15" customHeight="1">
      <c r="A32" s="70" t="n">
        <v>24</v>
      </c>
      <c r="B32" s="71" t="inlineStr">
        <is>
          <t>Caballo Collection</t>
        </is>
      </c>
      <c r="C32" s="70" t="inlineStr">
        <is>
          <t>C00010</t>
        </is>
      </c>
      <c r="D32" s="71" t="inlineStr">
        <is>
          <t>Maroon Intense</t>
        </is>
      </c>
      <c r="E32" s="70" t="n"/>
      <c r="F32" s="72">
        <f>SUM(I32:O32)</f>
        <v/>
      </c>
      <c r="G32" s="72">
        <f>SUM(J32:P32)</f>
        <v/>
      </c>
      <c r="H32" s="73">
        <f>IFERROR(IF(G32&gt;0,F32/G32,"-"),"-")</f>
        <v/>
      </c>
      <c r="I32" s="74" t="n">
        <v>5</v>
      </c>
      <c r="J32" s="74">
        <f>IFERROR(IF(I32&gt;0,H32/I32,"-"),"-")</f>
        <v/>
      </c>
      <c r="K32" s="75" t="n"/>
      <c r="L32" s="74" t="n">
        <v>2</v>
      </c>
      <c r="M32" s="74">
        <f>IFERROR(IF(L32&gt;0,K32/L32,"-"),"-")</f>
        <v/>
      </c>
      <c r="N32" s="75" t="n"/>
      <c r="O32" s="74" t="n">
        <v>4</v>
      </c>
      <c r="P32" s="74">
        <f>IFERROR(IF(O32&gt;0,N32/O32,"-"),"-")</f>
        <v/>
      </c>
      <c r="Q32" s="75" t="n">
        <v>0</v>
      </c>
      <c r="R32" s="60" t="n"/>
      <c r="S32" s="60" t="n"/>
    </row>
    <row r="33" ht="15" customHeight="1">
      <c r="A33" s="70" t="n">
        <v>25</v>
      </c>
      <c r="B33" s="71" t="inlineStr">
        <is>
          <t>Caballo Collection</t>
        </is>
      </c>
      <c r="C33" s="70" t="inlineStr">
        <is>
          <t>C00012</t>
        </is>
      </c>
      <c r="D33" s="71" t="inlineStr">
        <is>
          <t>Navy Perfume 100ml</t>
        </is>
      </c>
      <c r="E33" s="70" t="n">
        <v>1</v>
      </c>
      <c r="F33" s="72">
        <f>SUM(I33:O33)</f>
        <v/>
      </c>
      <c r="G33" s="72">
        <f>SUM(J33:P33)</f>
        <v/>
      </c>
      <c r="H33" s="73">
        <f>IFERROR(IF(G33&gt;0,F33/G33,"-"),"-")</f>
        <v/>
      </c>
      <c r="I33" s="74" t="n">
        <v>10</v>
      </c>
      <c r="J33" s="74">
        <f>IFERROR(IF(I33&gt;0,H33/I33,"-"),"-")</f>
        <v/>
      </c>
      <c r="K33" s="75" t="n">
        <v>3</v>
      </c>
      <c r="L33" s="74" t="n">
        <v>34</v>
      </c>
      <c r="M33" s="74">
        <f>IFERROR(IF(L33&gt;0,K33/L33,"-"),"-")</f>
        <v/>
      </c>
      <c r="N33" s="75" t="n">
        <v>1</v>
      </c>
      <c r="O33" s="74" t="n">
        <v>15</v>
      </c>
      <c r="P33" s="74">
        <f>IFERROR(IF(O33&gt;0,N33/O33,"-"),"-")</f>
        <v/>
      </c>
      <c r="Q33" s="75" t="n">
        <v>0</v>
      </c>
      <c r="R33" s="60" t="n"/>
      <c r="S33" s="60" t="n"/>
    </row>
    <row r="34" ht="15" customHeight="1">
      <c r="A34" s="70" t="n">
        <v>26</v>
      </c>
      <c r="B34" s="71" t="inlineStr">
        <is>
          <t>Caballo Collection</t>
        </is>
      </c>
      <c r="C34" s="70" t="inlineStr">
        <is>
          <t>C00013</t>
        </is>
      </c>
      <c r="D34" s="71" t="inlineStr">
        <is>
          <t>White Overdose Perfume 100ml</t>
        </is>
      </c>
      <c r="E34" s="70" t="n"/>
      <c r="F34" s="72">
        <f>SUM(I34:O34)</f>
        <v/>
      </c>
      <c r="G34" s="72">
        <f>SUM(J34:P34)</f>
        <v/>
      </c>
      <c r="H34" s="73">
        <f>IFERROR(IF(G34&gt;0,F34/G34,"-"),"-")</f>
        <v/>
      </c>
      <c r="I34" s="74" t="n"/>
      <c r="J34" s="74">
        <f>IFERROR(IF(I34&gt;0,H34/I34,"-"),"-")</f>
        <v/>
      </c>
      <c r="K34" s="75" t="n"/>
      <c r="L34" s="74" t="n">
        <v>4</v>
      </c>
      <c r="M34" s="74">
        <f>IFERROR(IF(L34&gt;0,K34/L34,"-"),"-")</f>
        <v/>
      </c>
      <c r="N34" s="75" t="n"/>
      <c r="O34" s="74" t="n">
        <v>3</v>
      </c>
      <c r="P34" s="74">
        <f>IFERROR(IF(O34&gt;0,N34/O34,"-"),"-")</f>
        <v/>
      </c>
      <c r="Q34" s="75" t="n">
        <v>0</v>
      </c>
      <c r="R34" s="60" t="n"/>
      <c r="S34" s="60" t="n"/>
    </row>
    <row r="35" ht="15" customHeight="1">
      <c r="A35" s="76" t="inlineStr">
        <is>
          <t xml:space="preserve">  DAKHOON COLLECTION</t>
        </is>
      </c>
      <c r="B35" s="77" t="n"/>
      <c r="C35" s="77" t="n"/>
      <c r="D35" s="77" t="n"/>
      <c r="E35" s="77" t="n"/>
      <c r="F35" s="72">
        <f>SUM(I35:O35)</f>
        <v/>
      </c>
      <c r="G35" s="72">
        <f>SUM(J35:P35)</f>
        <v/>
      </c>
      <c r="H35" s="73">
        <f>IFERROR(IF(G35&gt;0,F35/G35,"-"),"-")</f>
        <v/>
      </c>
      <c r="I35" s="74" t="n"/>
      <c r="J35" s="74">
        <f>IFERROR(IF(I35&gt;0,H35/I35,"-"),"-")</f>
        <v/>
      </c>
      <c r="K35" s="75" t="n"/>
      <c r="L35" s="74" t="n"/>
      <c r="M35" s="74">
        <f>IFERROR(IF(L35&gt;0,K35/L35,"-"),"-")</f>
        <v/>
      </c>
      <c r="N35" s="75" t="n"/>
      <c r="O35" s="74" t="n"/>
      <c r="P35" s="74">
        <f>IFERROR(IF(O35&gt;0,N35/O35,"-"),"-")</f>
        <v/>
      </c>
      <c r="Q35" s="75" t="n"/>
      <c r="R35" s="59" t="n"/>
      <c r="S35" s="59" t="n"/>
    </row>
    <row r="36" ht="15" customHeight="1">
      <c r="A36" s="70" t="n">
        <v>27</v>
      </c>
      <c r="B36" s="71" t="inlineStr">
        <is>
          <t>Dakhoon Collection</t>
        </is>
      </c>
      <c r="C36" s="70" t="inlineStr">
        <is>
          <t>D00001</t>
        </is>
      </c>
      <c r="D36" s="71" t="inlineStr">
        <is>
          <t>Dakhoon Al Emarat</t>
        </is>
      </c>
      <c r="E36" s="70" t="n">
        <v>2</v>
      </c>
      <c r="F36" s="72">
        <f>SUM(I36:O36)</f>
        <v/>
      </c>
      <c r="G36" s="72">
        <f>SUM(J36:P36)</f>
        <v/>
      </c>
      <c r="H36" s="73">
        <f>IFERROR(IF(G36&gt;0,F36/G36,"-"),"-")</f>
        <v/>
      </c>
      <c r="I36" s="74" t="n">
        <v>40</v>
      </c>
      <c r="J36" s="74">
        <f>IFERROR(IF(I36&gt;0,H36/I36,"-"),"-")</f>
        <v/>
      </c>
      <c r="K36" s="75" t="n">
        <v>2</v>
      </c>
      <c r="L36" s="74" t="n">
        <v>75</v>
      </c>
      <c r="M36" s="74">
        <f>IFERROR(IF(L36&gt;0,K36/L36,"-"),"-")</f>
        <v/>
      </c>
      <c r="N36" s="75" t="n">
        <v>2</v>
      </c>
      <c r="O36" s="74" t="n">
        <v>33</v>
      </c>
      <c r="P36" s="74">
        <f>IFERROR(IF(O36&gt;0,N36/O36,"-"),"-")</f>
        <v/>
      </c>
      <c r="Q36" s="75" t="n">
        <v>0</v>
      </c>
      <c r="R36" s="60" t="n"/>
      <c r="S36" s="60" t="n"/>
    </row>
    <row r="37" ht="15" customHeight="1">
      <c r="A37" s="70" t="n">
        <v>28</v>
      </c>
      <c r="B37" s="71" t="inlineStr">
        <is>
          <t>Dakhoon Collection</t>
        </is>
      </c>
      <c r="C37" s="70" t="inlineStr">
        <is>
          <t>D00002</t>
        </is>
      </c>
      <c r="D37" s="71" t="inlineStr">
        <is>
          <t>Dakhoon Al Marasim</t>
        </is>
      </c>
      <c r="E37" s="70" t="n">
        <v>1</v>
      </c>
      <c r="F37" s="72">
        <f>SUM(I37:O37)</f>
        <v/>
      </c>
      <c r="G37" s="72">
        <f>SUM(J37:P37)</f>
        <v/>
      </c>
      <c r="H37" s="73">
        <f>IFERROR(IF(G37&gt;0,F37/G37,"-"),"-")</f>
        <v/>
      </c>
      <c r="I37" s="74" t="n">
        <v>8</v>
      </c>
      <c r="J37" s="74">
        <f>IFERROR(IF(I37&gt;0,H37/I37,"-"),"-")</f>
        <v/>
      </c>
      <c r="K37" s="75" t="n"/>
      <c r="L37" s="74" t="n">
        <v>22</v>
      </c>
      <c r="M37" s="74">
        <f>IFERROR(IF(L37&gt;0,K37/L37,"-"),"-")</f>
        <v/>
      </c>
      <c r="N37" s="75" t="n"/>
      <c r="O37" s="74" t="n">
        <v>9</v>
      </c>
      <c r="P37" s="74">
        <f>IFERROR(IF(O37&gt;0,N37/O37,"-"),"-")</f>
        <v/>
      </c>
      <c r="Q37" s="75" t="n">
        <v>0</v>
      </c>
      <c r="R37" s="60" t="n"/>
      <c r="S37" s="60" t="n"/>
    </row>
    <row r="38" ht="15" customHeight="1">
      <c r="A38" s="70" t="n">
        <v>29</v>
      </c>
      <c r="B38" s="71" t="inlineStr">
        <is>
          <t>Dakhoon Collection</t>
        </is>
      </c>
      <c r="C38" s="70" t="inlineStr">
        <is>
          <t>D00003</t>
        </is>
      </c>
      <c r="D38" s="71" t="inlineStr">
        <is>
          <t>Dakhoon Badia</t>
        </is>
      </c>
      <c r="E38" s="70" t="n"/>
      <c r="F38" s="72">
        <f>SUM(I38:O38)</f>
        <v/>
      </c>
      <c r="G38" s="72">
        <f>SUM(J38:P38)</f>
        <v/>
      </c>
      <c r="H38" s="73">
        <f>IFERROR(IF(G38&gt;0,F38/G38,"-"),"-")</f>
        <v/>
      </c>
      <c r="I38" s="74" t="n">
        <v>2</v>
      </c>
      <c r="J38" s="74">
        <f>IFERROR(IF(I38&gt;0,H38/I38,"-"),"-")</f>
        <v/>
      </c>
      <c r="K38" s="75" t="n"/>
      <c r="L38" s="74" t="n">
        <v>7</v>
      </c>
      <c r="M38" s="74">
        <f>IFERROR(IF(L38&gt;0,K38/L38,"-"),"-")</f>
        <v/>
      </c>
      <c r="N38" s="75" t="n">
        <v>1</v>
      </c>
      <c r="O38" s="74" t="n"/>
      <c r="P38" s="74">
        <f>IFERROR(IF(O38&gt;0,N38/O38,"-"),"-")</f>
        <v/>
      </c>
      <c r="Q38" s="75" t="n">
        <v>0</v>
      </c>
      <c r="R38" s="60" t="n"/>
      <c r="S38" s="60" t="n"/>
    </row>
    <row r="39" ht="15" customHeight="1">
      <c r="A39" s="70" t="n">
        <v>30</v>
      </c>
      <c r="B39" s="71" t="inlineStr">
        <is>
          <t>Dakhoon Collection</t>
        </is>
      </c>
      <c r="C39" s="70" t="inlineStr">
        <is>
          <t>D00004</t>
        </is>
      </c>
      <c r="D39" s="71" t="inlineStr">
        <is>
          <t>Dakhoon Al Dar</t>
        </is>
      </c>
      <c r="E39" s="70" t="n"/>
      <c r="F39" s="72">
        <f>SUM(I39:O39)</f>
        <v/>
      </c>
      <c r="G39" s="72">
        <f>SUM(J39:P39)</f>
        <v/>
      </c>
      <c r="H39" s="73">
        <f>IFERROR(IF(G39&gt;0,F39/G39,"-"),"-")</f>
        <v/>
      </c>
      <c r="I39" s="74" t="n">
        <v>1</v>
      </c>
      <c r="J39" s="74">
        <f>IFERROR(IF(I39&gt;0,H39/I39,"-"),"-")</f>
        <v/>
      </c>
      <c r="K39" s="75" t="n">
        <v>1</v>
      </c>
      <c r="L39" s="74" t="n">
        <v>8</v>
      </c>
      <c r="M39" s="74">
        <f>IFERROR(IF(L39&gt;0,K39/L39,"-"),"-")</f>
        <v/>
      </c>
      <c r="N39" s="75" t="n"/>
      <c r="O39" s="74" t="n">
        <v>1</v>
      </c>
      <c r="P39" s="74">
        <f>IFERROR(IF(O39&gt;0,N39/O39,"-"),"-")</f>
        <v/>
      </c>
      <c r="Q39" s="75" t="n">
        <v>0</v>
      </c>
      <c r="R39" s="60" t="n"/>
      <c r="S39" s="60" t="n"/>
    </row>
    <row r="40" ht="15" customHeight="1">
      <c r="A40" s="70" t="n">
        <v>31</v>
      </c>
      <c r="B40" s="71" t="inlineStr">
        <is>
          <t>Dakhoon Collection</t>
        </is>
      </c>
      <c r="C40" s="70" t="inlineStr">
        <is>
          <t>D00008</t>
        </is>
      </c>
      <c r="D40" s="71" t="inlineStr">
        <is>
          <t>Dakhoon Retaj</t>
        </is>
      </c>
      <c r="E40" s="70" t="n">
        <v>1</v>
      </c>
      <c r="F40" s="72">
        <f>SUM(I40:O40)</f>
        <v/>
      </c>
      <c r="G40" s="72">
        <f>SUM(J40:P40)</f>
        <v/>
      </c>
      <c r="H40" s="73">
        <f>IFERROR(IF(G40&gt;0,F40/G40,"-"),"-")</f>
        <v/>
      </c>
      <c r="I40" s="74" t="n"/>
      <c r="J40" s="74">
        <f>IFERROR(IF(I40&gt;0,H40/I40,"-"),"-")</f>
        <v/>
      </c>
      <c r="K40" s="75" t="n">
        <v>1</v>
      </c>
      <c r="L40" s="74" t="n"/>
      <c r="M40" s="74">
        <f>IFERROR(IF(L40&gt;0,K40/L40,"-"),"-")</f>
        <v/>
      </c>
      <c r="N40" s="75" t="n">
        <v>1</v>
      </c>
      <c r="O40" s="74" t="n"/>
      <c r="P40" s="74">
        <f>IFERROR(IF(O40&gt;0,N40/O40,"-"),"-")</f>
        <v/>
      </c>
      <c r="Q40" s="75" t="n">
        <v>0</v>
      </c>
      <c r="R40" s="60" t="n"/>
      <c r="S40" s="60" t="n"/>
    </row>
    <row r="41" ht="15" customHeight="1">
      <c r="A41" s="76" t="inlineStr">
        <is>
          <t xml:space="preserve">  OUD COLLECTION</t>
        </is>
      </c>
      <c r="B41" s="77" t="n"/>
      <c r="C41" s="77" t="n"/>
      <c r="D41" s="77" t="n"/>
      <c r="E41" s="77" t="n"/>
      <c r="F41" s="72">
        <f>SUM(I41:O41)</f>
        <v/>
      </c>
      <c r="G41" s="72">
        <f>SUM(J41:P41)</f>
        <v/>
      </c>
      <c r="H41" s="73">
        <f>IFERROR(IF(G41&gt;0,F41/G41,"-"),"-")</f>
        <v/>
      </c>
      <c r="I41" s="74" t="n"/>
      <c r="J41" s="74">
        <f>IFERROR(IF(I41&gt;0,H41/I41,"-"),"-")</f>
        <v/>
      </c>
      <c r="K41" s="75" t="n"/>
      <c r="L41" s="74" t="n"/>
      <c r="M41" s="74">
        <f>IFERROR(IF(L41&gt;0,K41/L41,"-"),"-")</f>
        <v/>
      </c>
      <c r="N41" s="75" t="n"/>
      <c r="O41" s="74" t="n"/>
      <c r="P41" s="74">
        <f>IFERROR(IF(O41&gt;0,N41/O41,"-"),"-")</f>
        <v/>
      </c>
      <c r="Q41" s="75" t="n"/>
      <c r="R41" s="59" t="n"/>
      <c r="S41" s="59" t="n"/>
    </row>
    <row r="42" ht="15" customHeight="1">
      <c r="A42" s="70" t="n">
        <v>32</v>
      </c>
      <c r="B42" s="71" t="inlineStr">
        <is>
          <t>Oud Collection</t>
        </is>
      </c>
      <c r="C42" s="70" t="inlineStr">
        <is>
          <t>O00001</t>
        </is>
      </c>
      <c r="D42" s="71" t="inlineStr">
        <is>
          <t>Oud Amiri</t>
        </is>
      </c>
      <c r="E42" s="70" t="n"/>
      <c r="F42" s="72">
        <f>SUM(I42:O42)</f>
        <v/>
      </c>
      <c r="G42" s="72">
        <f>SUM(J42:P42)</f>
        <v/>
      </c>
      <c r="H42" s="73">
        <f>IFERROR(IF(G42&gt;0,F42/G42,"-"),"-")</f>
        <v/>
      </c>
      <c r="I42" s="74" t="n"/>
      <c r="J42" s="74">
        <f>IFERROR(IF(I42&gt;0,H42/I42,"-"),"-")</f>
        <v/>
      </c>
      <c r="K42" s="75" t="n"/>
      <c r="L42" s="74" t="n"/>
      <c r="M42" s="74">
        <f>IFERROR(IF(L42&gt;0,K42/L42,"-"),"-")</f>
        <v/>
      </c>
      <c r="N42" s="75" t="n"/>
      <c r="O42" s="74" t="n"/>
      <c r="P42" s="74">
        <f>IFERROR(IF(O42&gt;0,N42/O42,"-"),"-")</f>
        <v/>
      </c>
      <c r="Q42" s="75" t="n">
        <v>0</v>
      </c>
      <c r="R42" s="60" t="n"/>
      <c r="S42" s="60" t="n"/>
    </row>
    <row r="43" ht="15" customHeight="1">
      <c r="A43" s="70" t="n">
        <v>33</v>
      </c>
      <c r="B43" s="71" t="inlineStr">
        <is>
          <t>Oud Collection</t>
        </is>
      </c>
      <c r="C43" s="70" t="inlineStr">
        <is>
          <t>O00002</t>
        </is>
      </c>
      <c r="D43" s="71" t="inlineStr">
        <is>
          <t>Oud Meydan</t>
        </is>
      </c>
      <c r="E43" s="70" t="n"/>
      <c r="F43" s="72">
        <f>SUM(I43:O43)</f>
        <v/>
      </c>
      <c r="G43" s="72">
        <f>SUM(J43:P43)</f>
        <v/>
      </c>
      <c r="H43" s="73">
        <f>IFERROR(IF(G43&gt;0,F43/G43,"-"),"-")</f>
        <v/>
      </c>
      <c r="I43" s="74" t="n">
        <v>6</v>
      </c>
      <c r="J43" s="74">
        <f>IFERROR(IF(I43&gt;0,H43/I43,"-"),"-")</f>
        <v/>
      </c>
      <c r="K43" s="75" t="n">
        <v>1</v>
      </c>
      <c r="L43" s="74" t="n">
        <v>13</v>
      </c>
      <c r="M43" s="74">
        <f>IFERROR(IF(L43&gt;0,K43/L43,"-"),"-")</f>
        <v/>
      </c>
      <c r="N43" s="75" t="n"/>
      <c r="O43" s="74" t="n">
        <v>3</v>
      </c>
      <c r="P43" s="74">
        <f>IFERROR(IF(O43&gt;0,N43/O43,"-"),"-")</f>
        <v/>
      </c>
      <c r="Q43" s="75" t="n">
        <v>0</v>
      </c>
      <c r="R43" s="60" t="n"/>
      <c r="S43" s="60" t="n"/>
    </row>
    <row r="44" ht="15" customHeight="1">
      <c r="A44" s="70" t="n">
        <v>34</v>
      </c>
      <c r="B44" s="71" t="inlineStr">
        <is>
          <t>Oud Collection</t>
        </is>
      </c>
      <c r="C44" s="70" t="inlineStr">
        <is>
          <t>O00003</t>
        </is>
      </c>
      <c r="D44" s="71" t="inlineStr">
        <is>
          <t>Oud Al Emarat</t>
        </is>
      </c>
      <c r="E44" s="70" t="n"/>
      <c r="F44" s="72">
        <f>SUM(I44:O44)</f>
        <v/>
      </c>
      <c r="G44" s="72">
        <f>SUM(J44:P44)</f>
        <v/>
      </c>
      <c r="H44" s="73">
        <f>IFERROR(IF(G44&gt;0,F44/G44,"-"),"-")</f>
        <v/>
      </c>
      <c r="I44" s="74" t="n">
        <v>9</v>
      </c>
      <c r="J44" s="74">
        <f>IFERROR(IF(I44&gt;0,H44/I44,"-"),"-")</f>
        <v/>
      </c>
      <c r="K44" s="75" t="n"/>
      <c r="L44" s="74" t="n">
        <v>8</v>
      </c>
      <c r="M44" s="74">
        <f>IFERROR(IF(L44&gt;0,K44/L44,"-"),"-")</f>
        <v/>
      </c>
      <c r="N44" s="75" t="n"/>
      <c r="O44" s="74" t="n">
        <v>2</v>
      </c>
      <c r="P44" s="74">
        <f>IFERROR(IF(O44&gt;0,N44/O44,"-"),"-")</f>
        <v/>
      </c>
      <c r="Q44" s="75" t="n">
        <v>0</v>
      </c>
      <c r="R44" s="60" t="n"/>
      <c r="S44" s="60" t="n"/>
    </row>
    <row r="45" ht="15" customHeight="1">
      <c r="A45" s="70" t="n">
        <v>35</v>
      </c>
      <c r="B45" s="71" t="inlineStr">
        <is>
          <t>Oud Collection</t>
        </is>
      </c>
      <c r="C45" s="70" t="inlineStr">
        <is>
          <t>O00006</t>
        </is>
      </c>
      <c r="D45" s="71" t="inlineStr">
        <is>
          <t>Oud Al Fakhamah</t>
        </is>
      </c>
      <c r="E45" s="70" t="n"/>
      <c r="F45" s="72">
        <f>SUM(I45:O45)</f>
        <v/>
      </c>
      <c r="G45" s="72">
        <f>SUM(J45:P45)</f>
        <v/>
      </c>
      <c r="H45" s="73">
        <f>IFERROR(IF(G45&gt;0,F45/G45,"-"),"-")</f>
        <v/>
      </c>
      <c r="I45" s="74" t="n">
        <v>3</v>
      </c>
      <c r="J45" s="74">
        <f>IFERROR(IF(I45&gt;0,H45/I45,"-"),"-")</f>
        <v/>
      </c>
      <c r="K45" s="75" t="n"/>
      <c r="L45" s="74" t="n">
        <v>3</v>
      </c>
      <c r="M45" s="74">
        <f>IFERROR(IF(L45&gt;0,K45/L45,"-"),"-")</f>
        <v/>
      </c>
      <c r="N45" s="75" t="n"/>
      <c r="O45" s="74" t="n">
        <v>1</v>
      </c>
      <c r="P45" s="74">
        <f>IFERROR(IF(O45&gt;0,N45/O45,"-"),"-")</f>
        <v/>
      </c>
      <c r="Q45" s="75" t="n">
        <v>0</v>
      </c>
      <c r="R45" s="60" t="n"/>
      <c r="S45" s="60" t="n"/>
    </row>
    <row r="46" ht="15" customHeight="1">
      <c r="A46" s="76" t="inlineStr">
        <is>
          <t xml:space="preserve">  FUTURE COLLECTION</t>
        </is>
      </c>
      <c r="B46" s="77" t="n"/>
      <c r="C46" s="77" t="n"/>
      <c r="D46" s="77" t="n"/>
      <c r="E46" s="77" t="n"/>
      <c r="F46" s="72">
        <f>SUM(I46:O46)</f>
        <v/>
      </c>
      <c r="G46" s="72">
        <f>SUM(J46:P46)</f>
        <v/>
      </c>
      <c r="H46" s="73">
        <f>IFERROR(IF(G46&gt;0,F46/G46,"-"),"-")</f>
        <v/>
      </c>
      <c r="I46" s="74" t="n">
        <v>8</v>
      </c>
      <c r="J46" s="74">
        <f>IFERROR(IF(I46&gt;0,H46/I46,"-"),"-")</f>
        <v/>
      </c>
      <c r="K46" s="75" t="n"/>
      <c r="L46" s="74" t="n">
        <v>1</v>
      </c>
      <c r="M46" s="74">
        <f>IFERROR(IF(L46&gt;0,K46/L46,"-"),"-")</f>
        <v/>
      </c>
      <c r="N46" s="75" t="n"/>
      <c r="O46" s="74" t="n">
        <v>2</v>
      </c>
      <c r="P46" s="74">
        <f>IFERROR(IF(O46&gt;0,N46/O46,"-"),"-")</f>
        <v/>
      </c>
      <c r="Q46" s="75" t="n"/>
      <c r="R46" s="59" t="n"/>
      <c r="S46" s="59" t="n"/>
    </row>
    <row r="47" ht="15" customHeight="1">
      <c r="A47" s="70" t="n">
        <v>36</v>
      </c>
      <c r="B47" s="71" t="inlineStr">
        <is>
          <t>Future Collection</t>
        </is>
      </c>
      <c r="C47" s="70" t="inlineStr">
        <is>
          <t>SP0037</t>
        </is>
      </c>
      <c r="D47" s="71" t="inlineStr">
        <is>
          <t>Future Bakhoor 100 ml Perfume</t>
        </is>
      </c>
      <c r="E47" s="70" t="n">
        <v>2</v>
      </c>
      <c r="F47" s="72">
        <f>SUM(I47:O47)</f>
        <v/>
      </c>
      <c r="G47" s="72">
        <f>SUM(J47:P47)</f>
        <v/>
      </c>
      <c r="H47" s="73">
        <f>IFERROR(IF(G47&gt;0,F47/G47,"-"),"-")</f>
        <v/>
      </c>
      <c r="I47" s="74" t="n">
        <v>11</v>
      </c>
      <c r="J47" s="74">
        <f>IFERROR(IF(I47&gt;0,H47/I47,"-"),"-")</f>
        <v/>
      </c>
      <c r="K47" s="75" t="n">
        <v>5</v>
      </c>
      <c r="L47" s="74" t="n">
        <v>66</v>
      </c>
      <c r="M47" s="74">
        <f>IFERROR(IF(L47&gt;0,K47/L47,"-"),"-")</f>
        <v/>
      </c>
      <c r="N47" s="75" t="n">
        <v>3</v>
      </c>
      <c r="O47" s="74" t="n">
        <v>12</v>
      </c>
      <c r="P47" s="74">
        <f>IFERROR(IF(O47&gt;0,N47/O47,"-"),"-")</f>
        <v/>
      </c>
      <c r="Q47" s="75" t="n">
        <v>0</v>
      </c>
      <c r="R47" s="60" t="n"/>
      <c r="S47" s="60" t="n"/>
    </row>
    <row r="48" ht="15" customHeight="1">
      <c r="A48" s="70" t="n">
        <v>37</v>
      </c>
      <c r="B48" s="71" t="inlineStr">
        <is>
          <t>Future Collection</t>
        </is>
      </c>
      <c r="C48" s="70" t="inlineStr">
        <is>
          <t>SP0038</t>
        </is>
      </c>
      <c r="D48" s="71" t="inlineStr">
        <is>
          <t>Future Oud 100 ml Perfume</t>
        </is>
      </c>
      <c r="E48" s="70" t="n">
        <v>4</v>
      </c>
      <c r="F48" s="72">
        <f>SUM(I48:O48)</f>
        <v/>
      </c>
      <c r="G48" s="72">
        <f>SUM(J48:P48)</f>
        <v/>
      </c>
      <c r="H48" s="73">
        <f>IFERROR(IF(G48&gt;0,F48/G48,"-"),"-")</f>
        <v/>
      </c>
      <c r="I48" s="74" t="n">
        <v>1</v>
      </c>
      <c r="J48" s="74">
        <f>IFERROR(IF(I48&gt;0,H48/I48,"-"),"-")</f>
        <v/>
      </c>
      <c r="K48" s="75" t="n">
        <v>7</v>
      </c>
      <c r="L48" s="74" t="n">
        <v>4</v>
      </c>
      <c r="M48" s="74">
        <f>IFERROR(IF(L48&gt;0,K48/L48,"-"),"-")</f>
        <v/>
      </c>
      <c r="N48" s="75" t="n">
        <v>6</v>
      </c>
      <c r="O48" s="74" t="n">
        <v>1</v>
      </c>
      <c r="P48" s="74">
        <f>IFERROR(IF(O48&gt;0,N48/O48,"-"),"-")</f>
        <v/>
      </c>
      <c r="Q48" s="75" t="n">
        <v>0</v>
      </c>
      <c r="R48" s="60" t="n"/>
      <c r="S48" s="60" t="n"/>
    </row>
    <row r="49" ht="15" customHeight="1">
      <c r="A49" s="70" t="n">
        <v>38</v>
      </c>
      <c r="B49" s="71" t="inlineStr">
        <is>
          <t>Future Collection</t>
        </is>
      </c>
      <c r="C49" s="70" t="inlineStr">
        <is>
          <t>SP0040</t>
        </is>
      </c>
      <c r="D49" s="71" t="inlineStr">
        <is>
          <t>Future Mubakhar 100 ml Perfume</t>
        </is>
      </c>
      <c r="E49" s="70" t="n"/>
      <c r="F49" s="72">
        <f>SUM(I49:O49)</f>
        <v/>
      </c>
      <c r="G49" s="72">
        <f>SUM(J49:P49)</f>
        <v/>
      </c>
      <c r="H49" s="73">
        <f>IFERROR(IF(G49&gt;0,F49/G49,"-"),"-")</f>
        <v/>
      </c>
      <c r="I49" s="74" t="n"/>
      <c r="J49" s="74">
        <f>IFERROR(IF(I49&gt;0,H49/I49,"-"),"-")</f>
        <v/>
      </c>
      <c r="K49" s="75" t="n"/>
      <c r="L49" s="74" t="n">
        <v>4</v>
      </c>
      <c r="M49" s="74">
        <f>IFERROR(IF(L49&gt;0,K49/L49,"-"),"-")</f>
        <v/>
      </c>
      <c r="N49" s="75" t="n"/>
      <c r="O49" s="74" t="n">
        <v>3</v>
      </c>
      <c r="P49" s="74">
        <f>IFERROR(IF(O49&gt;0,N49/O49,"-"),"-")</f>
        <v/>
      </c>
      <c r="Q49" s="75" t="n">
        <v>0</v>
      </c>
      <c r="R49" s="60" t="n"/>
      <c r="S49" s="60" t="n"/>
    </row>
    <row r="50" ht="15" customHeight="1">
      <c r="A50" s="76" t="inlineStr">
        <is>
          <t xml:space="preserve">  SPECIAL SETS</t>
        </is>
      </c>
      <c r="B50" s="77" t="n"/>
      <c r="C50" s="77" t="n"/>
      <c r="D50" s="77" t="n"/>
      <c r="E50" s="77" t="n"/>
      <c r="F50" s="72">
        <f>SUM(I50:O50)</f>
        <v/>
      </c>
      <c r="G50" s="72">
        <f>SUM(J50:P50)</f>
        <v/>
      </c>
      <c r="H50" s="73">
        <f>IFERROR(IF(G50&gt;0,F50/G50,"-"),"-")</f>
        <v/>
      </c>
      <c r="I50" s="74" t="n">
        <v>8</v>
      </c>
      <c r="J50" s="74">
        <f>IFERROR(IF(I50&gt;0,H50/I50,"-"),"-")</f>
        <v/>
      </c>
      <c r="K50" s="75" t="n">
        <v>1</v>
      </c>
      <c r="L50" s="74" t="n"/>
      <c r="M50" s="74">
        <f>IFERROR(IF(L50&gt;0,K50/L50,"-"),"-")</f>
        <v/>
      </c>
      <c r="N50" s="75" t="n"/>
      <c r="O50" s="74" t="n"/>
      <c r="P50" s="74">
        <f>IFERROR(IF(O50&gt;0,N50/O50,"-"),"-")</f>
        <v/>
      </c>
      <c r="Q50" s="75" t="n"/>
      <c r="R50" s="59" t="n"/>
      <c r="S50" s="59" t="n"/>
    </row>
    <row r="51" ht="15" customHeight="1">
      <c r="A51" s="70" t="n">
        <v>39</v>
      </c>
      <c r="B51" s="71" t="inlineStr">
        <is>
          <t>Special Sets</t>
        </is>
      </c>
      <c r="C51" s="70" t="inlineStr">
        <is>
          <t>SP0001</t>
        </is>
      </c>
      <c r="D51" s="71" t="inlineStr">
        <is>
          <t>White Oud</t>
        </is>
      </c>
      <c r="E51" s="70" t="n">
        <v>1</v>
      </c>
      <c r="F51" s="72">
        <f>SUM(I51:O51)</f>
        <v/>
      </c>
      <c r="G51" s="72">
        <f>SUM(J51:P51)</f>
        <v/>
      </c>
      <c r="H51" s="73">
        <f>IFERROR(IF(G51&gt;0,F51/G51,"-"),"-")</f>
        <v/>
      </c>
      <c r="I51" s="74" t="n">
        <v>1</v>
      </c>
      <c r="J51" s="74">
        <f>IFERROR(IF(I51&gt;0,H51/I51,"-"),"-")</f>
        <v/>
      </c>
      <c r="K51" s="75" t="n">
        <v>2</v>
      </c>
      <c r="L51" s="74" t="n"/>
      <c r="M51" s="74">
        <f>IFERROR(IF(L51&gt;0,K51/L51,"-"),"-")</f>
        <v/>
      </c>
      <c r="N51" s="75" t="n">
        <v>1</v>
      </c>
      <c r="O51" s="74" t="n"/>
      <c r="P51" s="74">
        <f>IFERROR(IF(O51&gt;0,N51/O51,"-"),"-")</f>
        <v/>
      </c>
      <c r="Q51" s="75" t="n">
        <v>0</v>
      </c>
      <c r="R51" s="60" t="n"/>
      <c r="S51" s="60" t="n"/>
    </row>
    <row r="52" ht="15" customHeight="1">
      <c r="A52" s="70" t="n">
        <v>40</v>
      </c>
      <c r="B52" s="71" t="inlineStr">
        <is>
          <t>Special Sets</t>
        </is>
      </c>
      <c r="C52" s="70" t="inlineStr">
        <is>
          <t>SP0030</t>
        </is>
      </c>
      <c r="D52" s="71" t="inlineStr">
        <is>
          <t>Midnight Oud 30ml</t>
        </is>
      </c>
      <c r="E52" s="70" t="n"/>
      <c r="F52" s="72">
        <f>SUM(I52:O52)</f>
        <v/>
      </c>
      <c r="G52" s="72">
        <f>SUM(J52:P52)</f>
        <v/>
      </c>
      <c r="H52" s="73">
        <f>IFERROR(IF(G52&gt;0,F52/G52,"-"),"-")</f>
        <v/>
      </c>
      <c r="I52" s="74" t="n"/>
      <c r="J52" s="74">
        <f>IFERROR(IF(I52&gt;0,H52/I52,"-"),"-")</f>
        <v/>
      </c>
      <c r="K52" s="75" t="n">
        <v>1</v>
      </c>
      <c r="L52" s="74" t="n"/>
      <c r="M52" s="74">
        <f>IFERROR(IF(L52&gt;0,K52/L52,"-"),"-")</f>
        <v/>
      </c>
      <c r="N52" s="75" t="n"/>
      <c r="O52" s="74" t="n"/>
      <c r="P52" s="74">
        <f>IFERROR(IF(O52&gt;0,N52/O52,"-"),"-")</f>
        <v/>
      </c>
      <c r="Q52" s="75" t="n">
        <v>0</v>
      </c>
      <c r="R52" s="60" t="n"/>
      <c r="S52" s="60" t="n"/>
    </row>
    <row r="53" ht="15" customHeight="1">
      <c r="A53" s="76" t="inlineStr">
        <is>
          <t xml:space="preserve">  OILS &amp; CPO</t>
        </is>
      </c>
      <c r="B53" s="77" t="n"/>
      <c r="C53" s="77" t="n"/>
      <c r="D53" s="77" t="n"/>
      <c r="E53" s="77" t="n"/>
      <c r="F53" s="72">
        <f>SUM(I53:O53)</f>
        <v/>
      </c>
      <c r="G53" s="72">
        <f>SUM(J53:P53)</f>
        <v/>
      </c>
      <c r="H53" s="73">
        <f>IFERROR(IF(G53&gt;0,F53/G53,"-"),"-")</f>
        <v/>
      </c>
      <c r="I53" s="74" t="n"/>
      <c r="J53" s="74">
        <f>IFERROR(IF(I53&gt;0,H53/I53,"-"),"-")</f>
        <v/>
      </c>
      <c r="K53" s="75" t="n"/>
      <c r="L53" s="74" t="n"/>
      <c r="M53" s="74">
        <f>IFERROR(IF(L53&gt;0,K53/L53,"-"),"-")</f>
        <v/>
      </c>
      <c r="N53" s="75" t="n">
        <v>1</v>
      </c>
      <c r="O53" s="74" t="n"/>
      <c r="P53" s="74">
        <f>IFERROR(IF(O53&gt;0,N53/O53,"-"),"-")</f>
        <v/>
      </c>
      <c r="Q53" s="75" t="n"/>
      <c r="R53" s="59" t="n"/>
      <c r="S53" s="59" t="n"/>
    </row>
    <row r="54" ht="15" customHeight="1">
      <c r="A54" s="70" t="n">
        <v>41</v>
      </c>
      <c r="B54" s="71" t="inlineStr">
        <is>
          <t>Oils &amp; CPO</t>
        </is>
      </c>
      <c r="C54" s="70" t="inlineStr">
        <is>
          <t>I00002</t>
        </is>
      </c>
      <c r="D54" s="71" t="inlineStr">
        <is>
          <t>Seufi Special</t>
        </is>
      </c>
      <c r="E54" s="70" t="n">
        <v>1</v>
      </c>
      <c r="F54" s="72">
        <f>SUM(I54:O54)</f>
        <v/>
      </c>
      <c r="G54" s="72">
        <f>SUM(J54:P54)</f>
        <v/>
      </c>
      <c r="H54" s="73">
        <f>IFERROR(IF(G54&gt;0,F54/G54,"-"),"-")</f>
        <v/>
      </c>
      <c r="I54" s="74" t="n">
        <v>3</v>
      </c>
      <c r="J54" s="74">
        <f>IFERROR(IF(I54&gt;0,H54/I54,"-"),"-")</f>
        <v/>
      </c>
      <c r="K54" s="75" t="n"/>
      <c r="L54" s="74" t="n">
        <v>1</v>
      </c>
      <c r="M54" s="74">
        <f>IFERROR(IF(L54&gt;0,K54/L54,"-"),"-")</f>
        <v/>
      </c>
      <c r="N54" s="75" t="n"/>
      <c r="O54" s="74" t="n">
        <v>2</v>
      </c>
      <c r="P54" s="74">
        <f>IFERROR(IF(O54&gt;0,N54/O54,"-"),"-")</f>
        <v/>
      </c>
      <c r="Q54" s="75" t="n">
        <v>0</v>
      </c>
      <c r="R54" s="60" t="n"/>
      <c r="S54" s="60" t="n"/>
    </row>
    <row r="55" ht="15" customHeight="1">
      <c r="A55" s="70" t="n">
        <v>42</v>
      </c>
      <c r="B55" s="71" t="inlineStr">
        <is>
          <t>Oils &amp; CPO</t>
        </is>
      </c>
      <c r="C55" s="70" t="inlineStr">
        <is>
          <t>I00003</t>
        </is>
      </c>
      <c r="D55" s="71" t="inlineStr">
        <is>
          <t>White Oil -8 ML</t>
        </is>
      </c>
      <c r="E55" s="70" t="n">
        <v>1</v>
      </c>
      <c r="F55" s="72">
        <f>SUM(I55:O55)</f>
        <v/>
      </c>
      <c r="G55" s="72">
        <f>SUM(J55:P55)</f>
        <v/>
      </c>
      <c r="H55" s="73">
        <f>IFERROR(IF(G55&gt;0,F55/G55,"-"),"-")</f>
        <v/>
      </c>
      <c r="I55" s="74" t="n">
        <v>1</v>
      </c>
      <c r="J55" s="74">
        <f>IFERROR(IF(I55&gt;0,H55/I55,"-"),"-")</f>
        <v/>
      </c>
      <c r="K55" s="75" t="n"/>
      <c r="L55" s="74" t="n">
        <v>1</v>
      </c>
      <c r="M55" s="74">
        <f>IFERROR(IF(L55&gt;0,K55/L55,"-"),"-")</f>
        <v/>
      </c>
      <c r="N55" s="75" t="n"/>
      <c r="O55" s="74" t="n">
        <v>4</v>
      </c>
      <c r="P55" s="74">
        <f>IFERROR(IF(O55&gt;0,N55/O55,"-"),"-")</f>
        <v/>
      </c>
      <c r="Q55" s="75" t="n">
        <v>0</v>
      </c>
      <c r="R55" s="60" t="n"/>
      <c r="S55" s="60" t="n"/>
    </row>
    <row r="56" ht="15" customHeight="1">
      <c r="A56" s="70" t="n">
        <v>43</v>
      </c>
      <c r="B56" s="71" t="inlineStr">
        <is>
          <t>Oils &amp; CPO</t>
        </is>
      </c>
      <c r="C56" s="70" t="inlineStr">
        <is>
          <t>I00006</t>
        </is>
      </c>
      <c r="D56" s="71" t="inlineStr">
        <is>
          <t>Musk oil 8 ML</t>
        </is>
      </c>
      <c r="E56" s="70" t="n"/>
      <c r="F56" s="72">
        <f>SUM(I56:O56)</f>
        <v/>
      </c>
      <c r="G56" s="72">
        <f>SUM(J56:P56)</f>
        <v/>
      </c>
      <c r="H56" s="73">
        <f>IFERROR(IF(G56&gt;0,F56/G56,"-"),"-")</f>
        <v/>
      </c>
      <c r="I56" s="74" t="n">
        <v>1</v>
      </c>
      <c r="J56" s="74">
        <f>IFERROR(IF(I56&gt;0,H56/I56,"-"),"-")</f>
        <v/>
      </c>
      <c r="K56" s="75" t="n">
        <v>1</v>
      </c>
      <c r="L56" s="74" t="n"/>
      <c r="M56" s="74">
        <f>IFERROR(IF(L56&gt;0,K56/L56,"-"),"-")</f>
        <v/>
      </c>
      <c r="N56" s="75" t="n">
        <v>1</v>
      </c>
      <c r="O56" s="74" t="n">
        <v>5</v>
      </c>
      <c r="P56" s="74">
        <f>IFERROR(IF(O56&gt;0,N56/O56,"-"),"-")</f>
        <v/>
      </c>
      <c r="Q56" s="75" t="n">
        <v>0</v>
      </c>
      <c r="R56" s="60" t="n"/>
      <c r="S56" s="60" t="n"/>
    </row>
    <row r="57" ht="15" customHeight="1">
      <c r="A57" s="76" t="inlineStr">
        <is>
          <t xml:space="preserve">  ACCESSORIES</t>
        </is>
      </c>
      <c r="B57" s="77" t="n"/>
      <c r="C57" s="77" t="n"/>
      <c r="D57" s="77" t="n"/>
      <c r="E57" s="77" t="n"/>
      <c r="F57" s="72">
        <f>SUM(I57:O57)</f>
        <v/>
      </c>
      <c r="G57" s="72">
        <f>SUM(J57:P57)</f>
        <v/>
      </c>
      <c r="H57" s="73">
        <f>IFERROR(IF(G57&gt;0,F57/G57,"-"),"-")</f>
        <v/>
      </c>
      <c r="I57" s="74" t="n">
        <v>25</v>
      </c>
      <c r="J57" s="74">
        <f>IFERROR(IF(I57&gt;0,H57/I57,"-"),"-")</f>
        <v/>
      </c>
      <c r="K57" s="75" t="n"/>
      <c r="L57" s="74" t="n">
        <v>47</v>
      </c>
      <c r="M57" s="74">
        <f>IFERROR(IF(L57&gt;0,K57/L57,"-"),"-")</f>
        <v/>
      </c>
      <c r="N57" s="75" t="n">
        <v>1</v>
      </c>
      <c r="O57" s="74" t="n">
        <v>21</v>
      </c>
      <c r="P57" s="74">
        <f>IFERROR(IF(O57&gt;0,N57/O57,"-"),"-")</f>
        <v/>
      </c>
      <c r="Q57" s="75" t="n"/>
      <c r="R57" s="59" t="n"/>
      <c r="S57" s="59" t="n"/>
    </row>
    <row r="58" ht="15" customHeight="1">
      <c r="A58" s="70" t="n">
        <v>44</v>
      </c>
      <c r="B58" s="71" t="inlineStr">
        <is>
          <t>Accessories</t>
        </is>
      </c>
      <c r="C58" s="70" t="inlineStr">
        <is>
          <t>AC0001</t>
        </is>
      </c>
      <c r="D58" s="71" t="inlineStr">
        <is>
          <t>Medkhan Small</t>
        </is>
      </c>
      <c r="E58" s="70" t="n">
        <v>1</v>
      </c>
      <c r="F58" s="72">
        <f>SUM(I58:O58)</f>
        <v/>
      </c>
      <c r="G58" s="72">
        <f>SUM(J58:P58)</f>
        <v/>
      </c>
      <c r="H58" s="73">
        <f>IFERROR(IF(G58&gt;0,F58/G58,"-"),"-")</f>
        <v/>
      </c>
      <c r="I58" s="74" t="n">
        <v>4</v>
      </c>
      <c r="J58" s="74">
        <f>IFERROR(IF(I58&gt;0,H58/I58,"-"),"-")</f>
        <v/>
      </c>
      <c r="K58" s="75" t="n">
        <v>1</v>
      </c>
      <c r="L58" s="74" t="n">
        <v>3</v>
      </c>
      <c r="M58" s="74">
        <f>IFERROR(IF(L58&gt;0,K58/L58,"-"),"-")</f>
        <v/>
      </c>
      <c r="N58" s="75" t="n">
        <v>2</v>
      </c>
      <c r="O58" s="74" t="n">
        <v>1</v>
      </c>
      <c r="P58" s="74">
        <f>IFERROR(IF(O58&gt;0,N58/O58,"-"),"-")</f>
        <v/>
      </c>
      <c r="Q58" s="75" t="n">
        <v>0</v>
      </c>
      <c r="R58" s="60" t="n"/>
      <c r="S58" s="60" t="n"/>
    </row>
    <row r="59" ht="15" customHeight="1">
      <c r="A59" s="70" t="n">
        <v>45</v>
      </c>
      <c r="B59" s="71" t="inlineStr">
        <is>
          <t>Accessories</t>
        </is>
      </c>
      <c r="C59" s="70" t="inlineStr">
        <is>
          <t>AC0003</t>
        </is>
      </c>
      <c r="D59" s="71" t="inlineStr">
        <is>
          <t>Lighter</t>
        </is>
      </c>
      <c r="E59" s="70" t="n">
        <v>1</v>
      </c>
      <c r="F59" s="72">
        <f>SUM(I59:O59)</f>
        <v/>
      </c>
      <c r="G59" s="72">
        <f>SUM(J59:P59)</f>
        <v/>
      </c>
      <c r="H59" s="73">
        <f>IFERROR(IF(G59&gt;0,F59/G59,"-"),"-")</f>
        <v/>
      </c>
      <c r="I59" s="74" t="n"/>
      <c r="J59" s="74">
        <f>IFERROR(IF(I59&gt;0,H59/I59,"-"),"-")</f>
        <v/>
      </c>
      <c r="K59" s="75" t="n">
        <v>1</v>
      </c>
      <c r="L59" s="74" t="n"/>
      <c r="M59" s="74">
        <f>IFERROR(IF(L59&gt;0,K59/L59,"-"),"-")</f>
        <v/>
      </c>
      <c r="N59" s="75" t="n">
        <v>2</v>
      </c>
      <c r="O59" s="74" t="n">
        <v>4</v>
      </c>
      <c r="P59" s="74">
        <f>IFERROR(IF(O59&gt;0,N59/O59,"-"),"-")</f>
        <v/>
      </c>
      <c r="Q59" s="75" t="n">
        <v>0</v>
      </c>
      <c r="R59" s="60" t="n"/>
      <c r="S59" s="60" t="n"/>
    </row>
    <row r="60">
      <c r="A60" s="77" t="n"/>
      <c r="B60" s="77" t="n"/>
      <c r="C60" s="77" t="n"/>
      <c r="D60" s="77" t="n"/>
      <c r="E60" s="77" t="n">
        <v>2</v>
      </c>
      <c r="F60" s="72">
        <f>SUM(I60:O60)</f>
        <v/>
      </c>
      <c r="G60" s="72">
        <f>SUM(J60:P60)</f>
        <v/>
      </c>
      <c r="H60" s="73">
        <f>IFERROR(IF(G60&gt;0,F60/G60,"-"),"-")</f>
        <v/>
      </c>
      <c r="I60" s="74" t="n">
        <v>4</v>
      </c>
      <c r="J60" s="74">
        <f>IFERROR(IF(I60&gt;0,H60/I60,"-"),"-")</f>
        <v/>
      </c>
      <c r="K60" s="75" t="n"/>
      <c r="L60" s="74" t="n">
        <v>18</v>
      </c>
      <c r="M60" s="74">
        <f>IFERROR(IF(L60&gt;0,K60/L60,"-"),"-")</f>
        <v/>
      </c>
      <c r="N60" s="75" t="n">
        <v>2</v>
      </c>
      <c r="O60" s="74" t="n">
        <v>9</v>
      </c>
      <c r="P60" s="74">
        <f>IFERROR(IF(O60&gt;0,N60/O60,"-"),"-")</f>
        <v/>
      </c>
      <c r="Q60" s="75" t="n"/>
      <c r="R60" s="59" t="n"/>
      <c r="S60" s="59" t="n"/>
    </row>
    <row r="61">
      <c r="A61" s="77" t="n"/>
      <c r="B61" s="77" t="n"/>
      <c r="C61" s="77" t="n"/>
      <c r="D61" s="77" t="n"/>
      <c r="E61" s="77" t="n"/>
      <c r="F61" s="72">
        <f>SUM(I61:O61)</f>
        <v/>
      </c>
      <c r="G61" s="72">
        <f>SUM(J61:P61)</f>
        <v/>
      </c>
      <c r="H61" s="73">
        <f>IFERROR(IF(G61&gt;0,F61/G61,"-"),"-")</f>
        <v/>
      </c>
      <c r="I61" s="74" t="n">
        <v>2</v>
      </c>
      <c r="J61" s="74">
        <f>IFERROR(IF(I61&gt;0,H61/I61,"-"),"-")</f>
        <v/>
      </c>
      <c r="K61" s="75" t="n"/>
      <c r="L61" s="74" t="n">
        <v>8</v>
      </c>
      <c r="M61" s="74">
        <f>IFERROR(IF(L61&gt;0,K61/L61,"-"),"-")</f>
        <v/>
      </c>
      <c r="N61" s="75" t="n"/>
      <c r="O61" s="74" t="n">
        <v>2</v>
      </c>
      <c r="P61" s="74">
        <f>IFERROR(IF(O61&gt;0,N61/O61,"-"),"-")</f>
        <v/>
      </c>
      <c r="Q61" s="75" t="n"/>
      <c r="R61" s="59" t="n"/>
      <c r="S61" s="59" t="n"/>
    </row>
    <row r="62">
      <c r="A62" s="77" t="n"/>
      <c r="B62" s="77" t="n"/>
      <c r="C62" s="77" t="n"/>
      <c r="D62" s="77" t="n"/>
      <c r="E62" s="77" t="n"/>
      <c r="F62" s="72">
        <f>SUM(I62:O62)</f>
        <v/>
      </c>
      <c r="G62" s="72">
        <f>SUM(J62:P62)</f>
        <v/>
      </c>
      <c r="H62" s="73">
        <f>IFERROR(IF(G62&gt;0,F62/G62,"-"),"-")</f>
        <v/>
      </c>
      <c r="I62" s="74" t="n">
        <v>4</v>
      </c>
      <c r="J62" s="74">
        <f>IFERROR(IF(I62&gt;0,H62/I62,"-"),"-")</f>
        <v/>
      </c>
      <c r="K62" s="75" t="n"/>
      <c r="L62" s="74" t="n">
        <v>7</v>
      </c>
      <c r="M62" s="74">
        <f>IFERROR(IF(L62&gt;0,K62/L62,"-"),"-")</f>
        <v/>
      </c>
      <c r="N62" s="75" t="n"/>
      <c r="O62" s="74" t="n">
        <v>5</v>
      </c>
      <c r="P62" s="74">
        <f>IFERROR(IF(O62&gt;0,N62/O62,"-"),"-")</f>
        <v/>
      </c>
      <c r="Q62" s="75" t="n"/>
      <c r="R62" s="59" t="n"/>
      <c r="S62" s="59" t="n"/>
    </row>
    <row r="63">
      <c r="A63" s="77" t="n"/>
      <c r="B63" s="77" t="n"/>
      <c r="C63" s="77" t="n"/>
      <c r="D63" s="77" t="n"/>
      <c r="E63" s="77" t="n">
        <v>1</v>
      </c>
      <c r="F63" s="72">
        <f>SUM(I63:O63)</f>
        <v/>
      </c>
      <c r="G63" s="72">
        <f>SUM(J63:P63)</f>
        <v/>
      </c>
      <c r="H63" s="73">
        <f>IFERROR(IF(G63&gt;0,F63/G63,"-"),"-")</f>
        <v/>
      </c>
      <c r="I63" s="74" t="n"/>
      <c r="J63" s="74">
        <f>IFERROR(IF(I63&gt;0,H63/I63,"-"),"-")</f>
        <v/>
      </c>
      <c r="K63" s="75" t="n">
        <v>2</v>
      </c>
      <c r="L63" s="74" t="n"/>
      <c r="M63" s="74">
        <f>IFERROR(IF(L63&gt;0,K63/L63,"-"),"-")</f>
        <v/>
      </c>
      <c r="N63" s="75" t="n"/>
      <c r="O63" s="74" t="n"/>
      <c r="P63" s="74">
        <f>IFERROR(IF(O63&gt;0,N63/O63,"-"),"-")</f>
        <v/>
      </c>
      <c r="Q63" s="75" t="n"/>
      <c r="R63" s="59" t="n"/>
      <c r="S63" s="59" t="n"/>
    </row>
    <row r="64">
      <c r="A64" s="77" t="n"/>
      <c r="B64" s="77" t="n"/>
      <c r="C64" s="77" t="n"/>
      <c r="D64" s="77" t="n"/>
      <c r="E64" s="77" t="n"/>
      <c r="F64" s="72">
        <f>SUM(I64:O64)</f>
        <v/>
      </c>
      <c r="G64" s="72">
        <f>SUM(J64:P64)</f>
        <v/>
      </c>
      <c r="H64" s="73">
        <f>IFERROR(IF(G64&gt;0,F64/G64,"-"),"-")</f>
        <v/>
      </c>
      <c r="I64" s="74" t="n"/>
      <c r="J64" s="74">
        <f>IFERROR(IF(I64&gt;0,H64/I64,"-"),"-")</f>
        <v/>
      </c>
      <c r="K64" s="75" t="n">
        <v>1</v>
      </c>
      <c r="L64" s="74" t="n"/>
      <c r="M64" s="74">
        <f>IFERROR(IF(L64&gt;0,K64/L64,"-"),"-")</f>
        <v/>
      </c>
      <c r="N64" s="75" t="n"/>
      <c r="O64" s="74" t="n"/>
      <c r="P64" s="74">
        <f>IFERROR(IF(O64&gt;0,N64/O64,"-"),"-")</f>
        <v/>
      </c>
      <c r="Q64" s="75" t="n"/>
      <c r="R64" s="59" t="n"/>
      <c r="S64" s="59" t="n"/>
    </row>
  </sheetData>
  <mergeCells count="5">
    <mergeCell ref="A1:AZ1"/>
    <mergeCell ref="O3"/>
    <mergeCell ref="I3"/>
    <mergeCell ref="L3"/>
    <mergeCell ref="A2:AZ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B5E20"/>
    <outlinePr summaryBelow="1" summaryRight="1"/>
    <pageSetUpPr/>
  </sheetPr>
  <dimension ref="A1:AZ64"/>
  <sheetViews>
    <sheetView showGridLines="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2" customWidth="1" min="4" max="4"/>
    <col width="25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7.5" customWidth="1" min="18" max="18"/>
    <col width="9" customWidth="1" min="19" max="19"/>
  </cols>
  <sheetData>
    <row r="1" ht="25" customHeight="1">
      <c r="A1" s="55" t="inlineStr">
        <is>
          <t>EMIRATES PRIDE PERFUMES | TESTER CONSUMPTION | MAY 2026 | ELMATLOUB</t>
        </is>
      </c>
    </row>
    <row r="2" ht="14" customHeight="1">
      <c r="A2" s="56" t="inlineStr">
        <is>
          <t>T=Testers Dispatched (blue) | S=Sales Generated (green) | Contrib%=Contribution %</t>
        </is>
      </c>
    </row>
    <row r="3" ht="30" customHeight="1">
      <c r="A3" s="57" t="inlineStr">
        <is>
          <t>#</t>
        </is>
      </c>
      <c r="B3" s="57" t="inlineStr">
        <is>
          <t>Category</t>
        </is>
      </c>
      <c r="C3" s="57" t="inlineStr">
        <is>
          <t>Sub-Category</t>
        </is>
      </c>
      <c r="D3" s="57" t="inlineStr">
        <is>
          <t>SKU Code</t>
        </is>
      </c>
      <c r="E3" s="57" t="inlineStr">
        <is>
          <t>Product Name</t>
        </is>
      </c>
      <c r="F3" s="57" t="inlineStr">
        <is>
          <t>Grand Total
Testers</t>
        </is>
      </c>
      <c r="G3" s="57" t="inlineStr">
        <is>
          <t>Grand Total
Sales</t>
        </is>
      </c>
      <c r="H3" s="57" t="inlineStr">
        <is>
          <t>Grand Total
Contrib%</t>
        </is>
      </c>
      <c r="I3" s="58" t="inlineStr">
        <is>
          <t>Fujairah CC</t>
        </is>
      </c>
      <c r="J3" s="59" t="n"/>
      <c r="K3" s="60" t="n"/>
      <c r="L3" s="58" t="inlineStr">
        <is>
          <t>Zahia CC</t>
        </is>
      </c>
      <c r="M3" s="59" t="n"/>
      <c r="N3" s="60" t="n"/>
      <c r="O3" s="58" t="inlineStr">
        <is>
          <t>Ajman CC</t>
        </is>
      </c>
      <c r="P3" s="59" t="n"/>
      <c r="Q3" s="60" t="n"/>
      <c r="R3" s="59" t="n"/>
      <c r="S3" s="59" t="n"/>
    </row>
    <row r="4" ht="44" customHeight="1">
      <c r="A4" s="61" t="n"/>
      <c r="B4" s="61" t="n"/>
      <c r="C4" s="61" t="n"/>
      <c r="D4" s="61" t="n"/>
      <c r="E4" s="61" t="n"/>
      <c r="F4" s="61" t="inlineStr">
        <is>
          <t>T</t>
        </is>
      </c>
      <c r="G4" s="61" t="inlineStr">
        <is>
          <t>S</t>
        </is>
      </c>
      <c r="H4" s="61" t="inlineStr">
        <is>
          <t>Contrib%</t>
        </is>
      </c>
      <c r="I4" s="62" t="inlineStr">
        <is>
          <t>T</t>
        </is>
      </c>
      <c r="J4" s="62" t="inlineStr">
        <is>
          <t>S</t>
        </is>
      </c>
      <c r="K4" s="62" t="inlineStr">
        <is>
          <t>Contrib%</t>
        </is>
      </c>
      <c r="L4" s="62" t="inlineStr">
        <is>
          <t>T</t>
        </is>
      </c>
      <c r="M4" s="62" t="inlineStr">
        <is>
          <t>S</t>
        </is>
      </c>
      <c r="N4" s="62" t="inlineStr">
        <is>
          <t>Contrib%</t>
        </is>
      </c>
      <c r="O4" s="62" t="inlineStr">
        <is>
          <t>T</t>
        </is>
      </c>
      <c r="P4" s="62" t="inlineStr">
        <is>
          <t>S</t>
        </is>
      </c>
      <c r="Q4" s="62" t="inlineStr">
        <is>
          <t>Contrib%</t>
        </is>
      </c>
      <c r="R4" s="60" t="n"/>
      <c r="S4" s="60" t="n"/>
    </row>
    <row r="5" ht="20" customHeight="1">
      <c r="A5" s="63" t="inlineStr">
        <is>
          <t>GRAND TOTAL</t>
        </is>
      </c>
      <c r="B5" s="59" t="n"/>
      <c r="C5" s="59" t="n"/>
      <c r="D5" s="59" t="n"/>
      <c r="E5" s="60" t="n"/>
      <c r="F5" s="64">
        <f>SUM(F12:F64)</f>
        <v/>
      </c>
      <c r="G5" s="64">
        <f>SUM(G12:G64)</f>
        <v/>
      </c>
      <c r="H5" s="65">
        <f>IFERROR(IF(G5&gt;0,F5/G5,"-"),"-")</f>
        <v/>
      </c>
      <c r="I5" s="66">
        <f>SUM(I12:I64)</f>
        <v/>
      </c>
      <c r="J5" s="66">
        <f>SUM(J12:J64)</f>
        <v/>
      </c>
      <c r="K5" s="67">
        <f>IFERROR(IF(J5&gt;0,I5/J5,"-"),"-")</f>
        <v/>
      </c>
      <c r="L5" s="66">
        <f>SUM(L12:L64)</f>
        <v/>
      </c>
      <c r="M5" s="66">
        <f>SUM(M12:M64)</f>
        <v/>
      </c>
      <c r="N5" s="67">
        <f>IFERROR(IF(M5&gt;0,L5/M5,"-"),"-")</f>
        <v/>
      </c>
      <c r="O5" s="66">
        <f>SUM(O12:O64)</f>
        <v/>
      </c>
      <c r="P5" s="66">
        <f>SUM(P12:P64)</f>
        <v/>
      </c>
      <c r="Q5" s="67">
        <f>IFERROR(IF(P5&gt;0,O5/P5,"-"),"-")</f>
        <v/>
      </c>
      <c r="R5" s="60" t="n"/>
      <c r="S5" s="60" t="n"/>
    </row>
    <row r="6" ht="15" customHeight="1">
      <c r="A6" s="68" t="n"/>
      <c r="B6" s="59" t="n"/>
      <c r="C6" s="59" t="n"/>
      <c r="D6" s="59" t="n"/>
      <c r="E6" s="59" t="n"/>
      <c r="F6" s="59" t="n"/>
      <c r="G6" s="59" t="n"/>
      <c r="H6" s="59" t="n"/>
      <c r="I6" s="59" t="n"/>
      <c r="J6" s="59" t="n"/>
      <c r="K6" s="59" t="n"/>
      <c r="L6" s="59" t="n"/>
      <c r="M6" s="59" t="n"/>
      <c r="N6" s="59" t="n"/>
      <c r="O6" s="59" t="n"/>
      <c r="P6" s="59" t="n"/>
      <c r="Q6" s="59" t="n"/>
      <c r="R6" s="59" t="n"/>
      <c r="S6" s="59" t="n"/>
    </row>
    <row r="7" ht="15" customHeight="1">
      <c r="A7" s="60" t="n"/>
      <c r="B7" s="69" t="n"/>
      <c r="C7" s="60" t="n"/>
      <c r="D7" s="69" t="n"/>
      <c r="E7" s="60" t="n"/>
      <c r="F7" s="60" t="n"/>
      <c r="G7" s="60" t="n"/>
      <c r="H7" s="60" t="n"/>
      <c r="I7" s="60" t="n"/>
      <c r="J7" s="60" t="n"/>
      <c r="K7" s="60" t="n"/>
      <c r="L7" s="60" t="n"/>
      <c r="M7" s="60" t="n"/>
      <c r="N7" s="60" t="n"/>
      <c r="O7" s="60" t="n"/>
      <c r="P7" s="60" t="n"/>
      <c r="Q7" s="60" t="n"/>
      <c r="R7" s="60" t="n"/>
      <c r="S7" s="60" t="n"/>
    </row>
    <row r="8" ht="15" customHeight="1">
      <c r="A8" s="60" t="n"/>
      <c r="B8" s="69" t="n"/>
      <c r="C8" s="60" t="n"/>
      <c r="D8" s="69" t="n"/>
      <c r="E8" s="60" t="n"/>
      <c r="F8" s="60" t="n"/>
      <c r="G8" s="60" t="n"/>
      <c r="H8" s="60" t="n"/>
      <c r="I8" s="60" t="n"/>
      <c r="J8" s="60" t="n"/>
      <c r="K8" s="60" t="n"/>
      <c r="L8" s="60" t="n"/>
      <c r="M8" s="60" t="n"/>
      <c r="N8" s="60" t="n"/>
      <c r="O8" s="60" t="n"/>
      <c r="P8" s="60" t="n"/>
      <c r="Q8" s="60" t="n"/>
      <c r="R8" s="60" t="n"/>
      <c r="S8" s="60" t="n"/>
    </row>
    <row r="9" ht="15" customHeight="1">
      <c r="A9" s="68" t="n"/>
      <c r="B9" s="59" t="n"/>
      <c r="C9" s="59" t="n"/>
      <c r="D9" s="59" t="n"/>
      <c r="E9" s="59" t="n"/>
      <c r="F9" s="59" t="n"/>
      <c r="G9" s="59" t="n"/>
      <c r="H9" s="59" t="n"/>
      <c r="I9" s="59" t="n"/>
      <c r="J9" s="59" t="n"/>
      <c r="K9" s="59" t="n"/>
      <c r="L9" s="59" t="n"/>
      <c r="M9" s="59" t="n"/>
      <c r="N9" s="59" t="n"/>
      <c r="O9" s="59" t="n"/>
      <c r="P9" s="59" t="n"/>
      <c r="Q9" s="59" t="n"/>
      <c r="R9" s="59" t="n"/>
      <c r="S9" s="59" t="n"/>
    </row>
    <row r="10" ht="15" customHeight="1">
      <c r="A10" s="60" t="n"/>
      <c r="B10" s="69" t="n"/>
      <c r="C10" s="60" t="n"/>
      <c r="D10" s="69" t="n"/>
      <c r="E10" s="60" t="n"/>
      <c r="F10" s="60" t="n"/>
      <c r="G10" s="60" t="n"/>
      <c r="H10" s="60" t="n"/>
      <c r="I10" s="60" t="n"/>
      <c r="J10" s="60" t="n"/>
      <c r="K10" s="60" t="n"/>
      <c r="L10" s="60" t="n"/>
      <c r="M10" s="60" t="n"/>
      <c r="N10" s="60" t="n"/>
      <c r="O10" s="60" t="n"/>
      <c r="P10" s="60" t="n"/>
      <c r="Q10" s="60" t="n"/>
      <c r="R10" s="60" t="n"/>
      <c r="S10" s="60" t="n"/>
    </row>
    <row r="11" ht="15" customHeight="1">
      <c r="A11" s="60" t="n"/>
      <c r="B11" s="69" t="n"/>
      <c r="C11" s="60" t="n"/>
      <c r="D11" s="69" t="n"/>
      <c r="E11" s="60" t="n"/>
      <c r="F11" s="60" t="n"/>
      <c r="G11" s="60" t="n"/>
      <c r="H11" s="60" t="n"/>
      <c r="I11" s="60" t="n"/>
      <c r="J11" s="60" t="n"/>
      <c r="K11" s="60" t="n"/>
      <c r="L11" s="60" t="n"/>
      <c r="M11" s="60" t="n"/>
      <c r="N11" s="60" t="n"/>
      <c r="O11" s="60" t="n"/>
      <c r="P11" s="60" t="n"/>
      <c r="Q11" s="60" t="n"/>
      <c r="R11" s="60" t="n"/>
      <c r="S11" s="60" t="n"/>
    </row>
    <row r="12" ht="15" customHeight="1">
      <c r="A12" s="70" t="n">
        <v>5</v>
      </c>
      <c r="B12" s="71" t="inlineStr">
        <is>
          <t>Bel Collections</t>
        </is>
      </c>
      <c r="C12" s="70" t="inlineStr">
        <is>
          <t>B00003</t>
        </is>
      </c>
      <c r="D12" s="71" t="inlineStr">
        <is>
          <t>Amber Bel oud</t>
        </is>
      </c>
      <c r="E12" s="70" t="n"/>
      <c r="F12" s="72">
        <f>SUM(I12:O12)</f>
        <v/>
      </c>
      <c r="G12" s="72">
        <f>SUM(J12:P12)</f>
        <v/>
      </c>
      <c r="H12" s="73">
        <f>IFERROR(IF(G12&gt;0,F12/G12,"-"),"-")</f>
        <v/>
      </c>
      <c r="I12" s="74" t="n">
        <v>1</v>
      </c>
      <c r="J12" s="74">
        <f>IFERROR(IF(I12&gt;0,H12/I12,"-"),"-")</f>
        <v/>
      </c>
      <c r="K12" s="75" t="n">
        <v>1</v>
      </c>
      <c r="L12" s="74" t="n">
        <v>9</v>
      </c>
      <c r="M12" s="74">
        <f>IFERROR(IF(L12&gt;0,K12/L12,"-"),"-")</f>
        <v/>
      </c>
      <c r="N12" s="75" t="n">
        <v>1</v>
      </c>
      <c r="O12" s="74" t="n">
        <v>9</v>
      </c>
      <c r="P12" s="74">
        <f>IFERROR(IF(O12&gt;0,N12/O12,"-"),"-")</f>
        <v/>
      </c>
      <c r="Q12" s="75" t="n">
        <v>1</v>
      </c>
      <c r="R12" s="60" t="n"/>
      <c r="S12" s="60" t="n"/>
    </row>
    <row r="13" ht="15" customHeight="1">
      <c r="A13" s="70" t="n">
        <v>6</v>
      </c>
      <c r="B13" s="71" t="inlineStr">
        <is>
          <t>Bel Collections</t>
        </is>
      </c>
      <c r="C13" s="70" t="inlineStr">
        <is>
          <t>B00004</t>
        </is>
      </c>
      <c r="D13" s="71" t="inlineStr">
        <is>
          <t>Meydan</t>
        </is>
      </c>
      <c r="E13" s="70" t="n">
        <v>1</v>
      </c>
      <c r="F13" s="72">
        <f>SUM(I13:O13)</f>
        <v/>
      </c>
      <c r="G13" s="72">
        <f>SUM(J13:P13)</f>
        <v/>
      </c>
      <c r="H13" s="73">
        <f>IFERROR(IF(G13&gt;0,F13/G13,"-"),"-")</f>
        <v/>
      </c>
      <c r="I13" s="74" t="n">
        <v>7</v>
      </c>
      <c r="J13" s="74">
        <f>IFERROR(IF(I13&gt;0,H13/I13,"-"),"-")</f>
        <v/>
      </c>
      <c r="K13" s="75" t="n">
        <v>4</v>
      </c>
      <c r="L13" s="74" t="n">
        <v>10</v>
      </c>
      <c r="M13" s="74">
        <f>IFERROR(IF(L13&gt;0,K13/L13,"-"),"-")</f>
        <v/>
      </c>
      <c r="N13" s="75" t="n">
        <v>1</v>
      </c>
      <c r="O13" s="74" t="n">
        <v>14</v>
      </c>
      <c r="P13" s="74">
        <f>IFERROR(IF(O13&gt;0,N13/O13,"-"),"-")</f>
        <v/>
      </c>
      <c r="Q13" s="75" t="n">
        <v>1</v>
      </c>
      <c r="R13" s="60" t="n"/>
      <c r="S13" s="60" t="n"/>
    </row>
    <row r="14" ht="15" customHeight="1">
      <c r="A14" s="70" t="n">
        <v>7</v>
      </c>
      <c r="B14" s="71" t="inlineStr">
        <is>
          <t>Bel Collections</t>
        </is>
      </c>
      <c r="C14" s="70" t="inlineStr">
        <is>
          <t>B00005</t>
        </is>
      </c>
      <c r="D14" s="71" t="inlineStr">
        <is>
          <t>Mystery</t>
        </is>
      </c>
      <c r="E14" s="70" t="n"/>
      <c r="F14" s="72">
        <f>SUM(I14:O14)</f>
        <v/>
      </c>
      <c r="G14" s="72">
        <f>SUM(J14:P14)</f>
        <v/>
      </c>
      <c r="H14" s="73">
        <f>IFERROR(IF(G14&gt;0,F14/G14,"-"),"-")</f>
        <v/>
      </c>
      <c r="I14" s="74" t="n">
        <v>2</v>
      </c>
      <c r="J14" s="74">
        <f>IFERROR(IF(I14&gt;0,H14/I14,"-"),"-")</f>
        <v/>
      </c>
      <c r="K14" s="75" t="n">
        <v>1</v>
      </c>
      <c r="L14" s="74" t="n">
        <v>2</v>
      </c>
      <c r="M14" s="74">
        <f>IFERROR(IF(L14&gt;0,K14/L14,"-"),"-")</f>
        <v/>
      </c>
      <c r="N14" s="75" t="n">
        <v>2</v>
      </c>
      <c r="O14" s="74" t="n">
        <v>4</v>
      </c>
      <c r="P14" s="74">
        <f>IFERROR(IF(O14&gt;0,N14/O14,"-"),"-")</f>
        <v/>
      </c>
      <c r="Q14" s="75" t="n"/>
      <c r="R14" s="60" t="n"/>
      <c r="S14" s="60" t="n"/>
    </row>
    <row r="15" ht="15" customHeight="1">
      <c r="A15" s="70" t="n">
        <v>8</v>
      </c>
      <c r="B15" s="71" t="inlineStr">
        <is>
          <t>Bel Collections</t>
        </is>
      </c>
      <c r="C15" s="70" t="inlineStr">
        <is>
          <t>B00006</t>
        </is>
      </c>
      <c r="D15" s="71" t="inlineStr">
        <is>
          <t>Mersal</t>
        </is>
      </c>
      <c r="E15" s="70" t="n">
        <v>3</v>
      </c>
      <c r="F15" s="72">
        <f>SUM(I15:O15)</f>
        <v/>
      </c>
      <c r="G15" s="72">
        <f>SUM(J15:P15)</f>
        <v/>
      </c>
      <c r="H15" s="73">
        <f>IFERROR(IF(G15&gt;0,F15/G15,"-"),"-")</f>
        <v/>
      </c>
      <c r="I15" s="74" t="n">
        <v>22</v>
      </c>
      <c r="J15" s="74">
        <f>IFERROR(IF(I15&gt;0,H15/I15,"-"),"-")</f>
        <v/>
      </c>
      <c r="K15" s="75" t="n">
        <v>1</v>
      </c>
      <c r="L15" s="74" t="n">
        <v>23</v>
      </c>
      <c r="M15" s="74">
        <f>IFERROR(IF(L15&gt;0,K15/L15,"-"),"-")</f>
        <v/>
      </c>
      <c r="N15" s="75" t="n">
        <v>6</v>
      </c>
      <c r="O15" s="74" t="n">
        <v>23</v>
      </c>
      <c r="P15" s="74">
        <f>IFERROR(IF(O15&gt;0,N15/O15,"-"),"-")</f>
        <v/>
      </c>
      <c r="Q15" s="75" t="n">
        <v>5</v>
      </c>
      <c r="R15" s="60" t="n"/>
      <c r="S15" s="60" t="n"/>
    </row>
    <row r="16" ht="15" customHeight="1">
      <c r="A16" s="70" t="n">
        <v>9</v>
      </c>
      <c r="B16" s="71" t="inlineStr">
        <is>
          <t>Bel Collections</t>
        </is>
      </c>
      <c r="C16" s="70" t="inlineStr">
        <is>
          <t>B00007</t>
        </is>
      </c>
      <c r="D16" s="71" t="inlineStr">
        <is>
          <t>Peaceful Life</t>
        </is>
      </c>
      <c r="E16" s="70" t="n">
        <v>4</v>
      </c>
      <c r="F16" s="72">
        <f>SUM(I16:O16)</f>
        <v/>
      </c>
      <c r="G16" s="72">
        <f>SUM(J16:P16)</f>
        <v/>
      </c>
      <c r="H16" s="73">
        <f>IFERROR(IF(G16&gt;0,F16/G16,"-"),"-")</f>
        <v/>
      </c>
      <c r="I16" s="74" t="n">
        <v>50</v>
      </c>
      <c r="J16" s="74">
        <f>IFERROR(IF(I16&gt;0,H16/I16,"-"),"-")</f>
        <v/>
      </c>
      <c r="K16" s="75" t="n">
        <v>5</v>
      </c>
      <c r="L16" s="74" t="n">
        <v>76</v>
      </c>
      <c r="M16" s="74">
        <f>IFERROR(IF(L16&gt;0,K16/L16,"-"),"-")</f>
        <v/>
      </c>
      <c r="N16" s="75" t="n">
        <v>8</v>
      </c>
      <c r="O16" s="74" t="n">
        <v>104</v>
      </c>
      <c r="P16" s="74">
        <f>IFERROR(IF(O16&gt;0,N16/O16,"-"),"-")</f>
        <v/>
      </c>
      <c r="Q16" s="75" t="n">
        <v>7</v>
      </c>
      <c r="R16" s="60" t="n"/>
      <c r="S16" s="60" t="n"/>
    </row>
    <row r="17" ht="15" customHeight="1">
      <c r="A17" s="70" t="n">
        <v>10</v>
      </c>
      <c r="B17" s="71" t="inlineStr">
        <is>
          <t>Bel Collections</t>
        </is>
      </c>
      <c r="C17" s="70" t="inlineStr">
        <is>
          <t>B00008</t>
        </is>
      </c>
      <c r="D17" s="71" t="inlineStr">
        <is>
          <t>Midnight Glow</t>
        </is>
      </c>
      <c r="E17" s="70" t="n"/>
      <c r="F17" s="72">
        <f>SUM(I17:O17)</f>
        <v/>
      </c>
      <c r="G17" s="72">
        <f>SUM(J17:P17)</f>
        <v/>
      </c>
      <c r="H17" s="73">
        <f>IFERROR(IF(G17&gt;0,F17/G17,"-"),"-")</f>
        <v/>
      </c>
      <c r="I17" s="74" t="n">
        <v>2</v>
      </c>
      <c r="J17" s="74">
        <f>IFERROR(IF(I17&gt;0,H17/I17,"-"),"-")</f>
        <v/>
      </c>
      <c r="K17" s="75" t="n">
        <v>1</v>
      </c>
      <c r="L17" s="74" t="n">
        <v>6</v>
      </c>
      <c r="M17" s="74">
        <f>IFERROR(IF(L17&gt;0,K17/L17,"-"),"-")</f>
        <v/>
      </c>
      <c r="N17" s="75" t="n"/>
      <c r="O17" s="74" t="n">
        <v>4</v>
      </c>
      <c r="P17" s="74">
        <f>IFERROR(IF(O17&gt;0,N17/O17,"-"),"-")</f>
        <v/>
      </c>
      <c r="Q17" s="75" t="n"/>
      <c r="R17" s="60" t="n"/>
      <c r="S17" s="60" t="n"/>
    </row>
    <row r="18" ht="15" customHeight="1">
      <c r="A18" s="70" t="n">
        <v>11</v>
      </c>
      <c r="B18" s="71" t="inlineStr">
        <is>
          <t>Bel Collections</t>
        </is>
      </c>
      <c r="C18" s="70" t="inlineStr">
        <is>
          <t>B00010</t>
        </is>
      </c>
      <c r="D18" s="71" t="inlineStr">
        <is>
          <t>Sakura</t>
        </is>
      </c>
      <c r="E18" s="70" t="n"/>
      <c r="F18" s="72">
        <f>SUM(I18:O18)</f>
        <v/>
      </c>
      <c r="G18" s="72">
        <f>SUM(J18:P18)</f>
        <v/>
      </c>
      <c r="H18" s="73">
        <f>IFERROR(IF(G18&gt;0,F18/G18,"-"),"-")</f>
        <v/>
      </c>
      <c r="I18" s="74" t="n">
        <v>1</v>
      </c>
      <c r="J18" s="74">
        <f>IFERROR(IF(I18&gt;0,H18/I18,"-"),"-")</f>
        <v/>
      </c>
      <c r="K18" s="75" t="n">
        <v>1</v>
      </c>
      <c r="L18" s="74" t="n">
        <v>6</v>
      </c>
      <c r="M18" s="74">
        <f>IFERROR(IF(L18&gt;0,K18/L18,"-"),"-")</f>
        <v/>
      </c>
      <c r="N18" s="75" t="n">
        <v>2</v>
      </c>
      <c r="O18" s="74" t="n">
        <v>3</v>
      </c>
      <c r="P18" s="74">
        <f>IFERROR(IF(O18&gt;0,N18/O18,"-"),"-")</f>
        <v/>
      </c>
      <c r="Q18" s="75" t="n">
        <v>1</v>
      </c>
      <c r="R18" s="60" t="n"/>
      <c r="S18" s="60" t="n"/>
    </row>
    <row r="19" ht="15" customHeight="1">
      <c r="A19" s="70" t="n">
        <v>12</v>
      </c>
      <c r="B19" s="71" t="inlineStr">
        <is>
          <t>Bel Collections</t>
        </is>
      </c>
      <c r="C19" s="70" t="inlineStr">
        <is>
          <t>B00012</t>
        </is>
      </c>
      <c r="D19" s="71" t="inlineStr">
        <is>
          <t>Ambergris</t>
        </is>
      </c>
      <c r="E19" s="70" t="n">
        <v>1</v>
      </c>
      <c r="F19" s="72">
        <f>SUM(I19:O19)</f>
        <v/>
      </c>
      <c r="G19" s="72">
        <f>SUM(J19:P19)</f>
        <v/>
      </c>
      <c r="H19" s="73">
        <f>IFERROR(IF(G19&gt;0,F19/G19,"-"),"-")</f>
        <v/>
      </c>
      <c r="I19" s="74" t="n">
        <v>57</v>
      </c>
      <c r="J19" s="74">
        <f>IFERROR(IF(I19&gt;0,H19/I19,"-"),"-")</f>
        <v/>
      </c>
      <c r="K19" s="75" t="n">
        <v>10</v>
      </c>
      <c r="L19" s="74" t="n">
        <v>54</v>
      </c>
      <c r="M19" s="74">
        <f>IFERROR(IF(L19&gt;0,K19/L19,"-"),"-")</f>
        <v/>
      </c>
      <c r="N19" s="75" t="n">
        <v>17</v>
      </c>
      <c r="O19" s="74" t="n">
        <v>74</v>
      </c>
      <c r="P19" s="74">
        <f>IFERROR(IF(O19&gt;0,N19/O19,"-"),"-")</f>
        <v/>
      </c>
      <c r="Q19" s="75" t="n">
        <v>5</v>
      </c>
      <c r="R19" s="60" t="n"/>
      <c r="S19" s="60" t="n"/>
    </row>
    <row r="20" ht="15" customHeight="1">
      <c r="A20" s="70" t="n">
        <v>13</v>
      </c>
      <c r="B20" s="71" t="inlineStr">
        <is>
          <t>Bel Collections</t>
        </is>
      </c>
      <c r="C20" s="70" t="inlineStr">
        <is>
          <t>B00015</t>
        </is>
      </c>
      <c r="D20" s="71" t="inlineStr">
        <is>
          <t>Hidden Leather</t>
        </is>
      </c>
      <c r="E20" s="70" t="n"/>
      <c r="F20" s="72">
        <f>SUM(I20:O20)</f>
        <v/>
      </c>
      <c r="G20" s="72">
        <f>SUM(J20:P20)</f>
        <v/>
      </c>
      <c r="H20" s="73">
        <f>IFERROR(IF(G20&gt;0,F20/G20,"-"),"-")</f>
        <v/>
      </c>
      <c r="I20" s="74" t="n">
        <v>2</v>
      </c>
      <c r="J20" s="74">
        <f>IFERROR(IF(I20&gt;0,H20/I20,"-"),"-")</f>
        <v/>
      </c>
      <c r="K20" s="75" t="n">
        <v>1</v>
      </c>
      <c r="L20" s="74" t="n">
        <v>5</v>
      </c>
      <c r="M20" s="74">
        <f>IFERROR(IF(L20&gt;0,K20/L20,"-"),"-")</f>
        <v/>
      </c>
      <c r="N20" s="75" t="n">
        <v>1</v>
      </c>
      <c r="O20" s="74" t="n">
        <v>5</v>
      </c>
      <c r="P20" s="74">
        <f>IFERROR(IF(O20&gt;0,N20/O20,"-"),"-")</f>
        <v/>
      </c>
      <c r="Q20" s="75" t="n">
        <v>1</v>
      </c>
      <c r="R20" s="60" t="n"/>
      <c r="S20" s="60" t="n"/>
    </row>
    <row r="21" ht="15" customHeight="1">
      <c r="A21" s="70" t="n">
        <v>14</v>
      </c>
      <c r="B21" s="71" t="inlineStr">
        <is>
          <t>Bel Collections</t>
        </is>
      </c>
      <c r="C21" s="70" t="inlineStr">
        <is>
          <t>B00016</t>
        </is>
      </c>
      <c r="D21" s="71" t="inlineStr">
        <is>
          <t>Mysterious Rose</t>
        </is>
      </c>
      <c r="E21" s="70" t="n">
        <v>2</v>
      </c>
      <c r="F21" s="72">
        <f>SUM(I21:O21)</f>
        <v/>
      </c>
      <c r="G21" s="72">
        <f>SUM(J21:P21)</f>
        <v/>
      </c>
      <c r="H21" s="73">
        <f>IFERROR(IF(G21&gt;0,F21/G21,"-"),"-")</f>
        <v/>
      </c>
      <c r="I21" s="74" t="n">
        <v>18</v>
      </c>
      <c r="J21" s="74">
        <f>IFERROR(IF(I21&gt;0,H21/I21,"-"),"-")</f>
        <v/>
      </c>
      <c r="K21" s="75" t="n">
        <v>1</v>
      </c>
      <c r="L21" s="74" t="n">
        <v>23</v>
      </c>
      <c r="M21" s="74">
        <f>IFERROR(IF(L21&gt;0,K21/L21,"-"),"-")</f>
        <v/>
      </c>
      <c r="N21" s="75" t="n">
        <v>3</v>
      </c>
      <c r="O21" s="74" t="n">
        <v>26</v>
      </c>
      <c r="P21" s="74">
        <f>IFERROR(IF(O21&gt;0,N21/O21,"-"),"-")</f>
        <v/>
      </c>
      <c r="Q21" s="75" t="n">
        <v>1</v>
      </c>
      <c r="R21" s="60" t="n"/>
      <c r="S21" s="60" t="n"/>
    </row>
    <row r="22" ht="15" customHeight="1">
      <c r="A22" s="70" t="n">
        <v>15</v>
      </c>
      <c r="B22" s="71" t="inlineStr">
        <is>
          <t>Bel Collections</t>
        </is>
      </c>
      <c r="C22" s="70" t="inlineStr">
        <is>
          <t>B00017</t>
        </is>
      </c>
      <c r="D22" s="71" t="inlineStr">
        <is>
          <t>Thekrayat</t>
        </is>
      </c>
      <c r="E22" s="70" t="n"/>
      <c r="F22" s="72">
        <f>SUM(I22:O22)</f>
        <v/>
      </c>
      <c r="G22" s="72">
        <f>SUM(J22:P22)</f>
        <v/>
      </c>
      <c r="H22" s="73">
        <f>IFERROR(IF(G22&gt;0,F22/G22,"-"),"-")</f>
        <v/>
      </c>
      <c r="I22" s="74" t="n">
        <v>19</v>
      </c>
      <c r="J22" s="74">
        <f>IFERROR(IF(I22&gt;0,H22/I22,"-"),"-")</f>
        <v/>
      </c>
      <c r="K22" s="75" t="n">
        <v>4</v>
      </c>
      <c r="L22" s="74" t="n">
        <v>7</v>
      </c>
      <c r="M22" s="74">
        <f>IFERROR(IF(L22&gt;0,K22/L22,"-"),"-")</f>
        <v/>
      </c>
      <c r="N22" s="75" t="n">
        <v>1</v>
      </c>
      <c r="O22" s="74" t="n">
        <v>15</v>
      </c>
      <c r="P22" s="74">
        <f>IFERROR(IF(O22&gt;0,N22/O22,"-"),"-")</f>
        <v/>
      </c>
      <c r="Q22" s="75" t="n">
        <v>1</v>
      </c>
      <c r="R22" s="60" t="n"/>
      <c r="S22" s="60" t="n"/>
    </row>
    <row r="23" ht="15" customHeight="1">
      <c r="A23" s="70" t="n">
        <v>16</v>
      </c>
      <c r="B23" s="71" t="inlineStr">
        <is>
          <t>Bel Collections</t>
        </is>
      </c>
      <c r="C23" s="70" t="inlineStr">
        <is>
          <t>B00018</t>
        </is>
      </c>
      <c r="D23" s="71" t="inlineStr">
        <is>
          <t>Hidden Tobacco</t>
        </is>
      </c>
      <c r="E23" s="70" t="n">
        <v>1</v>
      </c>
      <c r="F23" s="72">
        <f>SUM(I23:O23)</f>
        <v/>
      </c>
      <c r="G23" s="72">
        <f>SUM(J23:P23)</f>
        <v/>
      </c>
      <c r="H23" s="73">
        <f>IFERROR(IF(G23&gt;0,F23/G23,"-"),"-")</f>
        <v/>
      </c>
      <c r="I23" s="74" t="n">
        <v>10</v>
      </c>
      <c r="J23" s="74">
        <f>IFERROR(IF(I23&gt;0,H23/I23,"-"),"-")</f>
        <v/>
      </c>
      <c r="K23" s="75" t="n">
        <v>5</v>
      </c>
      <c r="L23" s="74" t="n">
        <v>18</v>
      </c>
      <c r="M23" s="74">
        <f>IFERROR(IF(L23&gt;0,K23/L23,"-"),"-")</f>
        <v/>
      </c>
      <c r="N23" s="75" t="n">
        <v>6</v>
      </c>
      <c r="O23" s="74" t="n">
        <v>23</v>
      </c>
      <c r="P23" s="74">
        <f>IFERROR(IF(O23&gt;0,N23/O23,"-"),"-")</f>
        <v/>
      </c>
      <c r="Q23" s="75" t="n">
        <v>1</v>
      </c>
      <c r="R23" s="60" t="n"/>
      <c r="S23" s="60" t="n"/>
    </row>
    <row r="24" ht="15" customHeight="1">
      <c r="A24" s="70" t="n">
        <v>17</v>
      </c>
      <c r="B24" s="71" t="inlineStr">
        <is>
          <t>Bel Collections</t>
        </is>
      </c>
      <c r="C24" s="70" t="inlineStr">
        <is>
          <t>B00019</t>
        </is>
      </c>
      <c r="D24" s="71" t="inlineStr">
        <is>
          <t>Masters Perfume 100ml</t>
        </is>
      </c>
      <c r="E24" s="70" t="n">
        <v>4</v>
      </c>
      <c r="F24" s="72">
        <f>SUM(I24:O24)</f>
        <v/>
      </c>
      <c r="G24" s="72">
        <f>SUM(J24:P24)</f>
        <v/>
      </c>
      <c r="H24" s="73">
        <f>IFERROR(IF(G24&gt;0,F24/G24,"-"),"-")</f>
        <v/>
      </c>
      <c r="I24" s="74" t="n">
        <v>38</v>
      </c>
      <c r="J24" s="74">
        <f>IFERROR(IF(I24&gt;0,H24/I24,"-"),"-")</f>
        <v/>
      </c>
      <c r="K24" s="75" t="n">
        <v>5</v>
      </c>
      <c r="L24" s="74" t="n">
        <v>13</v>
      </c>
      <c r="M24" s="74">
        <f>IFERROR(IF(L24&gt;0,K24/L24,"-"),"-")</f>
        <v/>
      </c>
      <c r="N24" s="75" t="n">
        <v>3</v>
      </c>
      <c r="O24" s="74" t="n">
        <v>64</v>
      </c>
      <c r="P24" s="74">
        <f>IFERROR(IF(O24&gt;0,N24/O24,"-"),"-")</f>
        <v/>
      </c>
      <c r="Q24" s="75" t="n">
        <v>2</v>
      </c>
      <c r="R24" s="60" t="n"/>
      <c r="S24" s="60" t="n"/>
    </row>
    <row r="25" ht="15" customHeight="1">
      <c r="A25" s="70" t="n">
        <v>18</v>
      </c>
      <c r="B25" s="71" t="inlineStr">
        <is>
          <t>Bel Collections</t>
        </is>
      </c>
      <c r="C25" s="70" t="inlineStr">
        <is>
          <t>B00020</t>
        </is>
      </c>
      <c r="D25" s="71" t="inlineStr">
        <is>
          <t>Masters Signature 100ml Perfume - Tester</t>
        </is>
      </c>
      <c r="E25" s="70" t="n">
        <v>5</v>
      </c>
      <c r="F25" s="72">
        <f>SUM(I25:O25)</f>
        <v/>
      </c>
      <c r="G25" s="72">
        <f>SUM(J25:P25)</f>
        <v/>
      </c>
      <c r="H25" s="73">
        <f>IFERROR(IF(G25&gt;0,F25/G25,"-"),"-")</f>
        <v/>
      </c>
      <c r="I25" s="74" t="n">
        <v>60</v>
      </c>
      <c r="J25" s="74">
        <f>IFERROR(IF(I25&gt;0,H25/I25,"-"),"-")</f>
        <v/>
      </c>
      <c r="K25" s="75" t="n">
        <v>11</v>
      </c>
      <c r="L25" s="74" t="n">
        <v>89</v>
      </c>
      <c r="M25" s="74">
        <f>IFERROR(IF(L25&gt;0,K25/L25,"-"),"-")</f>
        <v/>
      </c>
      <c r="N25" s="75" t="n">
        <v>8</v>
      </c>
      <c r="O25" s="74" t="n">
        <v>74</v>
      </c>
      <c r="P25" s="74">
        <f>IFERROR(IF(O25&gt;0,N25/O25,"-"),"-")</f>
        <v/>
      </c>
      <c r="Q25" s="75" t="n">
        <v>8</v>
      </c>
      <c r="R25" s="60" t="n"/>
      <c r="S25" s="60" t="n"/>
    </row>
    <row r="26" ht="15" customHeight="1">
      <c r="A26" s="70" t="n">
        <v>19</v>
      </c>
      <c r="B26" s="71" t="inlineStr">
        <is>
          <t>Bel Collections</t>
        </is>
      </c>
      <c r="C26" s="70" t="inlineStr">
        <is>
          <t>B00021</t>
        </is>
      </c>
      <c r="D26" s="71" t="inlineStr">
        <is>
          <t>Midnight Bloom 100 ML</t>
        </is>
      </c>
      <c r="E26" s="70" t="n"/>
      <c r="F26" s="72">
        <f>SUM(I26:O26)</f>
        <v/>
      </c>
      <c r="G26" s="72">
        <f>SUM(J26:P26)</f>
        <v/>
      </c>
      <c r="H26" s="73">
        <f>IFERROR(IF(G26&gt;0,F26/G26,"-"),"-")</f>
        <v/>
      </c>
      <c r="I26" s="74" t="n"/>
      <c r="J26" s="74">
        <f>IFERROR(IF(I26&gt;0,H26/I26,"-"),"-")</f>
        <v/>
      </c>
      <c r="K26" s="75" t="n"/>
      <c r="L26" s="74" t="n"/>
      <c r="M26" s="74">
        <f>IFERROR(IF(L26&gt;0,K26/L26,"-"),"-")</f>
        <v/>
      </c>
      <c r="N26" s="75" t="n"/>
      <c r="O26" s="74" t="n"/>
      <c r="P26" s="74">
        <f>IFERROR(IF(O26&gt;0,N26/O26,"-"),"-")</f>
        <v/>
      </c>
      <c r="Q26" s="75" t="n"/>
      <c r="R26" s="60" t="n"/>
      <c r="S26" s="60" t="n"/>
    </row>
    <row r="27" ht="15" customHeight="1">
      <c r="A27" s="76" t="inlineStr">
        <is>
          <t xml:space="preserve">  CABALLO COLLECTION</t>
        </is>
      </c>
      <c r="B27" s="77" t="n"/>
      <c r="C27" s="77" t="n"/>
      <c r="D27" s="77" t="n"/>
      <c r="E27" s="77" t="n">
        <v>1</v>
      </c>
      <c r="F27" s="72">
        <f>SUM(I27:O27)</f>
        <v/>
      </c>
      <c r="G27" s="72">
        <f>SUM(J27:P27)</f>
        <v/>
      </c>
      <c r="H27" s="73">
        <f>IFERROR(IF(G27&gt;0,F27/G27,"-"),"-")</f>
        <v/>
      </c>
      <c r="I27" s="74" t="n"/>
      <c r="J27" s="74">
        <f>IFERROR(IF(I27&gt;0,H27/I27,"-"),"-")</f>
        <v/>
      </c>
      <c r="K27" s="75" t="n"/>
      <c r="L27" s="74" t="n"/>
      <c r="M27" s="74">
        <f>IFERROR(IF(L27&gt;0,K27/L27,"-"),"-")</f>
        <v/>
      </c>
      <c r="N27" s="75" t="n"/>
      <c r="O27" s="74" t="n"/>
      <c r="P27" s="74">
        <f>IFERROR(IF(O27&gt;0,N27/O27,"-"),"-")</f>
        <v/>
      </c>
      <c r="Q27" s="75" t="n">
        <v>1</v>
      </c>
      <c r="R27" s="59" t="n"/>
      <c r="S27" s="59" t="n"/>
    </row>
    <row r="28" ht="15" customHeight="1">
      <c r="A28" s="70" t="n">
        <v>20</v>
      </c>
      <c r="B28" s="71" t="inlineStr">
        <is>
          <t>Caballo Collection</t>
        </is>
      </c>
      <c r="C28" s="70" t="inlineStr">
        <is>
          <t>C00004</t>
        </is>
      </c>
      <c r="D28" s="71" t="inlineStr">
        <is>
          <t>Maroon Perfume 100 ML</t>
        </is>
      </c>
      <c r="E28" s="70" t="n"/>
      <c r="F28" s="72">
        <f>SUM(I28:O28)</f>
        <v/>
      </c>
      <c r="G28" s="72">
        <f>SUM(J28:P28)</f>
        <v/>
      </c>
      <c r="H28" s="73">
        <f>IFERROR(IF(G28&gt;0,F28/G28,"-"),"-")</f>
        <v/>
      </c>
      <c r="I28" s="74" t="n">
        <v>20</v>
      </c>
      <c r="J28" s="74">
        <f>IFERROR(IF(I28&gt;0,H28/I28,"-"),"-")</f>
        <v/>
      </c>
      <c r="K28" s="75" t="n"/>
      <c r="L28" s="74" t="n">
        <v>64</v>
      </c>
      <c r="M28" s="74">
        <f>IFERROR(IF(L28&gt;0,K28/L28,"-"),"-")</f>
        <v/>
      </c>
      <c r="N28" s="75" t="n"/>
      <c r="O28" s="74" t="n">
        <v>88</v>
      </c>
      <c r="P28" s="74">
        <f>IFERROR(IF(O28&gt;0,N28/O28,"-"),"-")</f>
        <v/>
      </c>
      <c r="Q28" s="75" t="n"/>
      <c r="R28" s="60" t="n"/>
      <c r="S28" s="60" t="n"/>
    </row>
    <row r="29" ht="15" customHeight="1">
      <c r="A29" s="70" t="n">
        <v>21</v>
      </c>
      <c r="B29" s="71" t="inlineStr">
        <is>
          <t>Caballo Collection</t>
        </is>
      </c>
      <c r="C29" s="70" t="inlineStr">
        <is>
          <t>C00010</t>
        </is>
      </c>
      <c r="D29" s="71" t="inlineStr">
        <is>
          <t>Maroon Intense</t>
        </is>
      </c>
      <c r="E29" s="70" t="n">
        <v>1</v>
      </c>
      <c r="F29" s="72">
        <f>SUM(I29:O29)</f>
        <v/>
      </c>
      <c r="G29" s="72">
        <f>SUM(J29:P29)</f>
        <v/>
      </c>
      <c r="H29" s="73">
        <f>IFERROR(IF(G29&gt;0,F29/G29,"-"),"-")</f>
        <v/>
      </c>
      <c r="I29" s="74" t="n">
        <v>15</v>
      </c>
      <c r="J29" s="74">
        <f>IFERROR(IF(I29&gt;0,H29/I29,"-"),"-")</f>
        <v/>
      </c>
      <c r="K29" s="75" t="n">
        <v>2</v>
      </c>
      <c r="L29" s="74" t="n">
        <v>18</v>
      </c>
      <c r="M29" s="74">
        <f>IFERROR(IF(L29&gt;0,K29/L29,"-"),"-")</f>
        <v/>
      </c>
      <c r="N29" s="75" t="n"/>
      <c r="O29" s="74" t="n">
        <v>56</v>
      </c>
      <c r="P29" s="74">
        <f>IFERROR(IF(O29&gt;0,N29/O29,"-"),"-")</f>
        <v/>
      </c>
      <c r="Q29" s="75" t="n">
        <v>1</v>
      </c>
      <c r="R29" s="60" t="n"/>
      <c r="S29" s="60" t="n"/>
    </row>
    <row r="30" ht="15" customHeight="1">
      <c r="A30" s="70" t="n">
        <v>22</v>
      </c>
      <c r="B30" s="71" t="inlineStr">
        <is>
          <t>Caballo Collection</t>
        </is>
      </c>
      <c r="C30" s="70" t="inlineStr">
        <is>
          <t>C00012</t>
        </is>
      </c>
      <c r="D30" s="71" t="inlineStr">
        <is>
          <t>Navy Perfume 100ml</t>
        </is>
      </c>
      <c r="E30" s="70" t="n"/>
      <c r="F30" s="72">
        <f>SUM(I30:O30)</f>
        <v/>
      </c>
      <c r="G30" s="72">
        <f>SUM(J30:P30)</f>
        <v/>
      </c>
      <c r="H30" s="73">
        <f>IFERROR(IF(G30&gt;0,F30/G30,"-"),"-")</f>
        <v/>
      </c>
      <c r="I30" s="74" t="n"/>
      <c r="J30" s="74">
        <f>IFERROR(IF(I30&gt;0,H30/I30,"-"),"-")</f>
        <v/>
      </c>
      <c r="K30" s="75" t="n">
        <v>1</v>
      </c>
      <c r="L30" s="74" t="n">
        <v>5</v>
      </c>
      <c r="M30" s="74">
        <f>IFERROR(IF(L30&gt;0,K30/L30,"-"),"-")</f>
        <v/>
      </c>
      <c r="N30" s="75" t="n"/>
      <c r="O30" s="74" t="n">
        <v>11</v>
      </c>
      <c r="P30" s="74">
        <f>IFERROR(IF(O30&gt;0,N30/O30,"-"),"-")</f>
        <v/>
      </c>
      <c r="Q30" s="75" t="n"/>
      <c r="R30" s="60" t="n"/>
      <c r="S30" s="60" t="n"/>
    </row>
    <row r="31" ht="15" customHeight="1">
      <c r="A31" s="70" t="n">
        <v>23</v>
      </c>
      <c r="B31" s="71" t="inlineStr">
        <is>
          <t>Caballo Collection</t>
        </is>
      </c>
      <c r="C31" s="70" t="inlineStr">
        <is>
          <t>C00013</t>
        </is>
      </c>
      <c r="D31" s="71" t="inlineStr">
        <is>
          <t>White Overdose Perfume 100ml</t>
        </is>
      </c>
      <c r="E31" s="70" t="n"/>
      <c r="F31" s="72">
        <f>SUM(I31:O31)</f>
        <v/>
      </c>
      <c r="G31" s="72">
        <f>SUM(J31:P31)</f>
        <v/>
      </c>
      <c r="H31" s="73">
        <f>IFERROR(IF(G31&gt;0,F31/G31,"-"),"-")</f>
        <v/>
      </c>
      <c r="I31" s="74" t="n">
        <v>3</v>
      </c>
      <c r="J31" s="74">
        <f>IFERROR(IF(I31&gt;0,H31/I31,"-"),"-")</f>
        <v/>
      </c>
      <c r="K31" s="75" t="n"/>
      <c r="L31" s="74" t="n">
        <v>3</v>
      </c>
      <c r="M31" s="74">
        <f>IFERROR(IF(L31&gt;0,K31/L31,"-"),"-")</f>
        <v/>
      </c>
      <c r="N31" s="75" t="n"/>
      <c r="O31" s="74" t="n">
        <v>1</v>
      </c>
      <c r="P31" s="74">
        <f>IFERROR(IF(O31&gt;0,N31/O31,"-"),"-")</f>
        <v/>
      </c>
      <c r="Q31" s="75" t="n"/>
      <c r="R31" s="60" t="n"/>
      <c r="S31" s="60" t="n"/>
    </row>
    <row r="32" ht="15" customHeight="1">
      <c r="A32" s="76" t="inlineStr">
        <is>
          <t xml:space="preserve">  DAKHOON COLLECTION</t>
        </is>
      </c>
      <c r="B32" s="77" t="n"/>
      <c r="C32" s="77" t="n"/>
      <c r="D32" s="77" t="n"/>
      <c r="E32" s="77" t="n"/>
      <c r="F32" s="72">
        <f>SUM(I32:O32)</f>
        <v/>
      </c>
      <c r="G32" s="72">
        <f>SUM(J32:P32)</f>
        <v/>
      </c>
      <c r="H32" s="73">
        <f>IFERROR(IF(G32&gt;0,F32/G32,"-"),"-")</f>
        <v/>
      </c>
      <c r="I32" s="74" t="n">
        <v>3</v>
      </c>
      <c r="J32" s="74">
        <f>IFERROR(IF(I32&gt;0,H32/I32,"-"),"-")</f>
        <v/>
      </c>
      <c r="K32" s="75" t="n"/>
      <c r="L32" s="74" t="n">
        <v>2</v>
      </c>
      <c r="M32" s="74">
        <f>IFERROR(IF(L32&gt;0,K32/L32,"-"),"-")</f>
        <v/>
      </c>
      <c r="N32" s="75" t="n">
        <v>1</v>
      </c>
      <c r="O32" s="74" t="n">
        <v>5</v>
      </c>
      <c r="P32" s="74">
        <f>IFERROR(IF(O32&gt;0,N32/O32,"-"),"-")</f>
        <v/>
      </c>
      <c r="Q32" s="75" t="n">
        <v>1</v>
      </c>
      <c r="R32" s="59" t="n"/>
      <c r="S32" s="59" t="n"/>
    </row>
    <row r="33" ht="15" customHeight="1">
      <c r="A33" s="70" t="n">
        <v>24</v>
      </c>
      <c r="B33" s="71" t="inlineStr">
        <is>
          <t>Dakhoon Collection</t>
        </is>
      </c>
      <c r="C33" s="70" t="inlineStr">
        <is>
          <t>D00001</t>
        </is>
      </c>
      <c r="D33" s="71" t="inlineStr">
        <is>
          <t>Dakhoon Al Emarat</t>
        </is>
      </c>
      <c r="E33" s="70" t="n">
        <v>1</v>
      </c>
      <c r="F33" s="72">
        <f>SUM(I33:O33)</f>
        <v/>
      </c>
      <c r="G33" s="72">
        <f>SUM(J33:P33)</f>
        <v/>
      </c>
      <c r="H33" s="73">
        <f>IFERROR(IF(G33&gt;0,F33/G33,"-"),"-")</f>
        <v/>
      </c>
      <c r="I33" s="74" t="n">
        <v>11</v>
      </c>
      <c r="J33" s="74">
        <f>IFERROR(IF(I33&gt;0,H33/I33,"-"),"-")</f>
        <v/>
      </c>
      <c r="K33" s="75" t="n">
        <v>2</v>
      </c>
      <c r="L33" s="74" t="n">
        <v>33</v>
      </c>
      <c r="M33" s="74">
        <f>IFERROR(IF(L33&gt;0,K33/L33,"-"),"-")</f>
        <v/>
      </c>
      <c r="N33" s="75" t="n">
        <v>4</v>
      </c>
      <c r="O33" s="74" t="n">
        <v>40</v>
      </c>
      <c r="P33" s="74">
        <f>IFERROR(IF(O33&gt;0,N33/O33,"-"),"-")</f>
        <v/>
      </c>
      <c r="Q33" s="75" t="n">
        <v>2</v>
      </c>
      <c r="R33" s="60" t="n"/>
      <c r="S33" s="60" t="n"/>
    </row>
    <row r="34" ht="15" customHeight="1">
      <c r="A34" s="70" t="n">
        <v>25</v>
      </c>
      <c r="B34" s="71" t="inlineStr">
        <is>
          <t>Dakhoon Collection</t>
        </is>
      </c>
      <c r="C34" s="70" t="inlineStr">
        <is>
          <t>D00002</t>
        </is>
      </c>
      <c r="D34" s="71" t="inlineStr">
        <is>
          <t>Dakhoon Al Marasim</t>
        </is>
      </c>
      <c r="E34" s="70" t="n"/>
      <c r="F34" s="72">
        <f>SUM(I34:O34)</f>
        <v/>
      </c>
      <c r="G34" s="72">
        <f>SUM(J34:P34)</f>
        <v/>
      </c>
      <c r="H34" s="73">
        <f>IFERROR(IF(G34&gt;0,F34/G34,"-"),"-")</f>
        <v/>
      </c>
      <c r="I34" s="74" t="n"/>
      <c r="J34" s="74">
        <f>IFERROR(IF(I34&gt;0,H34/I34,"-"),"-")</f>
        <v/>
      </c>
      <c r="K34" s="75" t="n"/>
      <c r="L34" s="74" t="n"/>
      <c r="M34" s="74">
        <f>IFERROR(IF(L34&gt;0,K34/L34,"-"),"-")</f>
        <v/>
      </c>
      <c r="N34" s="75" t="n"/>
      <c r="O34" s="74" t="n">
        <v>1</v>
      </c>
      <c r="P34" s="74">
        <f>IFERROR(IF(O34&gt;0,N34/O34,"-"),"-")</f>
        <v/>
      </c>
      <c r="Q34" s="75" t="n"/>
      <c r="R34" s="60" t="n"/>
      <c r="S34" s="60" t="n"/>
    </row>
    <row r="35" ht="15" customHeight="1">
      <c r="A35" s="70" t="n">
        <v>26</v>
      </c>
      <c r="B35" s="71" t="inlineStr">
        <is>
          <t>Dakhoon Collection</t>
        </is>
      </c>
      <c r="C35" s="70" t="inlineStr">
        <is>
          <t>D00003</t>
        </is>
      </c>
      <c r="D35" s="71" t="inlineStr">
        <is>
          <t>Dakhoon Badia</t>
        </is>
      </c>
      <c r="E35" s="70" t="n"/>
      <c r="F35" s="72">
        <f>SUM(I35:O35)</f>
        <v/>
      </c>
      <c r="G35" s="72">
        <f>SUM(J35:P35)</f>
        <v/>
      </c>
      <c r="H35" s="73">
        <f>IFERROR(IF(G35&gt;0,F35/G35,"-"),"-")</f>
        <v/>
      </c>
      <c r="I35" s="74" t="n"/>
      <c r="J35" s="74">
        <f>IFERROR(IF(I35&gt;0,H35/I35,"-"),"-")</f>
        <v/>
      </c>
      <c r="K35" s="75" t="n"/>
      <c r="L35" s="74" t="n"/>
      <c r="M35" s="74">
        <f>IFERROR(IF(L35&gt;0,K35/L35,"-"),"-")</f>
        <v/>
      </c>
      <c r="N35" s="75" t="n"/>
      <c r="O35" s="74" t="n"/>
      <c r="P35" s="74">
        <f>IFERROR(IF(O35&gt;0,N35/O35,"-"),"-")</f>
        <v/>
      </c>
      <c r="Q35" s="75" t="n"/>
      <c r="R35" s="60" t="n"/>
      <c r="S35" s="60" t="n"/>
    </row>
    <row r="36" ht="15" customHeight="1">
      <c r="A36" s="70" t="n">
        <v>27</v>
      </c>
      <c r="B36" s="71" t="inlineStr">
        <is>
          <t>Dakhoon Collection</t>
        </is>
      </c>
      <c r="C36" s="70" t="inlineStr">
        <is>
          <t>D00004</t>
        </is>
      </c>
      <c r="D36" s="71" t="inlineStr">
        <is>
          <t>Dakhoon Al Dar</t>
        </is>
      </c>
      <c r="E36" s="70" t="n">
        <v>1</v>
      </c>
      <c r="F36" s="72">
        <f>SUM(I36:O36)</f>
        <v/>
      </c>
      <c r="G36" s="72">
        <f>SUM(J36:P36)</f>
        <v/>
      </c>
      <c r="H36" s="73">
        <f>IFERROR(IF(G36&gt;0,F36/G36,"-"),"-")</f>
        <v/>
      </c>
      <c r="I36" s="74" t="n">
        <v>20</v>
      </c>
      <c r="J36" s="74">
        <f>IFERROR(IF(I36&gt;0,H36/I36,"-"),"-")</f>
        <v/>
      </c>
      <c r="K36" s="75" t="n">
        <v>3</v>
      </c>
      <c r="L36" s="74" t="n">
        <v>42</v>
      </c>
      <c r="M36" s="74">
        <f>IFERROR(IF(L36&gt;0,K36/L36,"-"),"-")</f>
        <v/>
      </c>
      <c r="N36" s="75" t="n">
        <v>7</v>
      </c>
      <c r="O36" s="74" t="n">
        <v>57</v>
      </c>
      <c r="P36" s="74">
        <f>IFERROR(IF(O36&gt;0,N36/O36,"-"),"-")</f>
        <v/>
      </c>
      <c r="Q36" s="75" t="n">
        <v>2</v>
      </c>
      <c r="R36" s="60" t="n"/>
      <c r="S36" s="60" t="n"/>
    </row>
    <row r="37" ht="15" customHeight="1">
      <c r="A37" s="70" t="n">
        <v>28</v>
      </c>
      <c r="B37" s="71" t="inlineStr">
        <is>
          <t>Dakhoon Collection</t>
        </is>
      </c>
      <c r="C37" s="70" t="inlineStr">
        <is>
          <t>D00008</t>
        </is>
      </c>
      <c r="D37" s="71" t="inlineStr">
        <is>
          <t>Dakhoon Retaj</t>
        </is>
      </c>
      <c r="E37" s="70" t="n"/>
      <c r="F37" s="72">
        <f>SUM(I37:O37)</f>
        <v/>
      </c>
      <c r="G37" s="72">
        <f>SUM(J37:P37)</f>
        <v/>
      </c>
      <c r="H37" s="73">
        <f>IFERROR(IF(G37&gt;0,F37/G37,"-"),"-")</f>
        <v/>
      </c>
      <c r="I37" s="74" t="n">
        <v>18</v>
      </c>
      <c r="J37" s="74">
        <f>IFERROR(IF(I37&gt;0,H37/I37,"-"),"-")</f>
        <v/>
      </c>
      <c r="K37" s="75" t="n">
        <v>1</v>
      </c>
      <c r="L37" s="74" t="n">
        <v>14</v>
      </c>
      <c r="M37" s="74">
        <f>IFERROR(IF(L37&gt;0,K37/L37,"-"),"-")</f>
        <v/>
      </c>
      <c r="N37" s="75" t="n">
        <v>2</v>
      </c>
      <c r="O37" s="74" t="n">
        <v>18</v>
      </c>
      <c r="P37" s="74">
        <f>IFERROR(IF(O37&gt;0,N37/O37,"-"),"-")</f>
        <v/>
      </c>
      <c r="Q37" s="75" t="n">
        <v>2</v>
      </c>
      <c r="R37" s="60" t="n"/>
      <c r="S37" s="60" t="n"/>
    </row>
    <row r="38" ht="15" customHeight="1">
      <c r="A38" s="76" t="inlineStr">
        <is>
          <t xml:space="preserve">  OUD COLLECTION</t>
        </is>
      </c>
      <c r="B38" s="77" t="n"/>
      <c r="C38" s="77" t="n"/>
      <c r="D38" s="77" t="n"/>
      <c r="E38" s="77" t="n">
        <v>1</v>
      </c>
      <c r="F38" s="72">
        <f>SUM(I38:O38)</f>
        <v/>
      </c>
      <c r="G38" s="72">
        <f>SUM(J38:P38)</f>
        <v/>
      </c>
      <c r="H38" s="73">
        <f>IFERROR(IF(G38&gt;0,F38/G38,"-"),"-")</f>
        <v/>
      </c>
      <c r="I38" s="74" t="n">
        <v>5</v>
      </c>
      <c r="J38" s="74">
        <f>IFERROR(IF(I38&gt;0,H38/I38,"-"),"-")</f>
        <v/>
      </c>
      <c r="K38" s="75" t="n">
        <v>1</v>
      </c>
      <c r="L38" s="74" t="n">
        <v>11</v>
      </c>
      <c r="M38" s="74">
        <f>IFERROR(IF(L38&gt;0,K38/L38,"-"),"-")</f>
        <v/>
      </c>
      <c r="N38" s="75" t="n">
        <v>4</v>
      </c>
      <c r="O38" s="74" t="n">
        <v>6</v>
      </c>
      <c r="P38" s="74">
        <f>IFERROR(IF(O38&gt;0,N38/O38,"-"),"-")</f>
        <v/>
      </c>
      <c r="Q38" s="75" t="n">
        <v>3</v>
      </c>
      <c r="R38" s="59" t="n"/>
      <c r="S38" s="59" t="n"/>
    </row>
    <row r="39" ht="15" customHeight="1">
      <c r="A39" s="70" t="n">
        <v>29</v>
      </c>
      <c r="B39" s="71" t="inlineStr">
        <is>
          <t>Oud Collection</t>
        </is>
      </c>
      <c r="C39" s="70" t="inlineStr">
        <is>
          <t>O00001</t>
        </is>
      </c>
      <c r="D39" s="71" t="inlineStr">
        <is>
          <t>Oud Amiri</t>
        </is>
      </c>
      <c r="E39" s="70" t="n">
        <v>2</v>
      </c>
      <c r="F39" s="72">
        <f>SUM(I39:O39)</f>
        <v/>
      </c>
      <c r="G39" s="72">
        <f>SUM(J39:P39)</f>
        <v/>
      </c>
      <c r="H39" s="73">
        <f>IFERROR(IF(G39&gt;0,F39/G39,"-"),"-")</f>
        <v/>
      </c>
      <c r="I39" s="74" t="n"/>
      <c r="J39" s="74">
        <f>IFERROR(IF(I39&gt;0,H39/I39,"-"),"-")</f>
        <v/>
      </c>
      <c r="K39" s="75" t="n">
        <v>1</v>
      </c>
      <c r="L39" s="74" t="n"/>
      <c r="M39" s="74">
        <f>IFERROR(IF(L39&gt;0,K39/L39,"-"),"-")</f>
        <v/>
      </c>
      <c r="N39" s="75" t="n">
        <v>5</v>
      </c>
      <c r="O39" s="74" t="n">
        <v>1</v>
      </c>
      <c r="P39" s="74">
        <f>IFERROR(IF(O39&gt;0,N39/O39,"-"),"-")</f>
        <v/>
      </c>
      <c r="Q39" s="75" t="n">
        <v>2</v>
      </c>
      <c r="R39" s="60" t="n"/>
      <c r="S39" s="60" t="n"/>
    </row>
    <row r="40" ht="15" customHeight="1">
      <c r="A40" s="70" t="n">
        <v>30</v>
      </c>
      <c r="B40" s="71" t="inlineStr">
        <is>
          <t>Oud Collection</t>
        </is>
      </c>
      <c r="C40" s="70" t="inlineStr">
        <is>
          <t>O00002</t>
        </is>
      </c>
      <c r="D40" s="71" t="inlineStr">
        <is>
          <t>Oud Meydan</t>
        </is>
      </c>
      <c r="E40" s="70" t="n">
        <v>2</v>
      </c>
      <c r="F40" s="72">
        <f>SUM(I40:O40)</f>
        <v/>
      </c>
      <c r="G40" s="72">
        <f>SUM(J40:P40)</f>
        <v/>
      </c>
      <c r="H40" s="73">
        <f>IFERROR(IF(G40&gt;0,F40/G40,"-"),"-")</f>
        <v/>
      </c>
      <c r="I40" s="74" t="n"/>
      <c r="J40" s="74">
        <f>IFERROR(IF(I40&gt;0,H40/I40,"-"),"-")</f>
        <v/>
      </c>
      <c r="K40" s="75" t="n">
        <v>1</v>
      </c>
      <c r="L40" s="74" t="n"/>
      <c r="M40" s="74">
        <f>IFERROR(IF(L40&gt;0,K40/L40,"-"),"-")</f>
        <v/>
      </c>
      <c r="N40" s="75" t="n">
        <v>2</v>
      </c>
      <c r="O40" s="74" t="n"/>
      <c r="P40" s="74">
        <f>IFERROR(IF(O40&gt;0,N40/O40,"-"),"-")</f>
        <v/>
      </c>
      <c r="Q40" s="75" t="n">
        <v>1</v>
      </c>
      <c r="R40" s="60" t="n"/>
      <c r="S40" s="60" t="n"/>
    </row>
    <row r="41" ht="15" customHeight="1">
      <c r="A41" s="70" t="n">
        <v>31</v>
      </c>
      <c r="B41" s="71" t="inlineStr">
        <is>
          <t>Oud Collection</t>
        </is>
      </c>
      <c r="C41" s="70" t="inlineStr">
        <is>
          <t>O00003</t>
        </is>
      </c>
      <c r="D41" s="71" t="inlineStr">
        <is>
          <t>Oud Al Emarat</t>
        </is>
      </c>
      <c r="E41" s="70" t="n"/>
      <c r="F41" s="72">
        <f>SUM(I41:O41)</f>
        <v/>
      </c>
      <c r="G41" s="72">
        <f>SUM(J41:P41)</f>
        <v/>
      </c>
      <c r="H41" s="73">
        <f>IFERROR(IF(G41&gt;0,F41/G41,"-"),"-")</f>
        <v/>
      </c>
      <c r="I41" s="74" t="n"/>
      <c r="J41" s="74">
        <f>IFERROR(IF(I41&gt;0,H41/I41,"-"),"-")</f>
        <v/>
      </c>
      <c r="K41" s="75" t="n"/>
      <c r="L41" s="74" t="n"/>
      <c r="M41" s="74">
        <f>IFERROR(IF(L41&gt;0,K41/L41,"-"),"-")</f>
        <v/>
      </c>
      <c r="N41" s="75" t="n"/>
      <c r="O41" s="74" t="n"/>
      <c r="P41" s="74">
        <f>IFERROR(IF(O41&gt;0,N41/O41,"-"),"-")</f>
        <v/>
      </c>
      <c r="Q41" s="75" t="n"/>
      <c r="R41" s="60" t="n"/>
      <c r="S41" s="60" t="n"/>
    </row>
    <row r="42" ht="15" customHeight="1">
      <c r="A42" s="70" t="n">
        <v>32</v>
      </c>
      <c r="B42" s="71" t="inlineStr">
        <is>
          <t>Oud Collection</t>
        </is>
      </c>
      <c r="C42" s="70" t="inlineStr">
        <is>
          <t>O00006</t>
        </is>
      </c>
      <c r="D42" s="71" t="inlineStr">
        <is>
          <t>Oud Al Fakhamah</t>
        </is>
      </c>
      <c r="E42" s="70" t="n"/>
      <c r="F42" s="72">
        <f>SUM(I42:O42)</f>
        <v/>
      </c>
      <c r="G42" s="72">
        <f>SUM(J42:P42)</f>
        <v/>
      </c>
      <c r="H42" s="73">
        <f>IFERROR(IF(G42&gt;0,F42/G42,"-"),"-")</f>
        <v/>
      </c>
      <c r="I42" s="74" t="n"/>
      <c r="J42" s="74">
        <f>IFERROR(IF(I42&gt;0,H42/I42,"-"),"-")</f>
        <v/>
      </c>
      <c r="K42" s="75" t="n">
        <v>1</v>
      </c>
      <c r="L42" s="74" t="n"/>
      <c r="M42" s="74">
        <f>IFERROR(IF(L42&gt;0,K42/L42,"-"),"-")</f>
        <v/>
      </c>
      <c r="N42" s="75" t="n"/>
      <c r="O42" s="74" t="n"/>
      <c r="P42" s="74">
        <f>IFERROR(IF(O42&gt;0,N42/O42,"-"),"-")</f>
        <v/>
      </c>
      <c r="Q42" s="75" t="n"/>
      <c r="R42" s="60" t="n"/>
      <c r="S42" s="60" t="n"/>
    </row>
    <row r="43" ht="15" customHeight="1">
      <c r="A43" s="76" t="inlineStr">
        <is>
          <t xml:space="preserve">  FUTURE COLLECTION</t>
        </is>
      </c>
      <c r="B43" s="77" t="n"/>
      <c r="C43" s="77" t="n"/>
      <c r="D43" s="77" t="n"/>
      <c r="E43" s="77" t="n"/>
      <c r="F43" s="72">
        <f>SUM(I43:O43)</f>
        <v/>
      </c>
      <c r="G43" s="72">
        <f>SUM(J43:P43)</f>
        <v/>
      </c>
      <c r="H43" s="73">
        <f>IFERROR(IF(G43&gt;0,F43/G43,"-"),"-")</f>
        <v/>
      </c>
      <c r="I43" s="74" t="n">
        <v>4</v>
      </c>
      <c r="J43" s="74">
        <f>IFERROR(IF(I43&gt;0,H43/I43,"-"),"-")</f>
        <v/>
      </c>
      <c r="K43" s="75" t="n"/>
      <c r="L43" s="74" t="n">
        <v>3</v>
      </c>
      <c r="M43" s="74">
        <f>IFERROR(IF(L43&gt;0,K43/L43,"-"),"-")</f>
        <v/>
      </c>
      <c r="N43" s="75" t="n"/>
      <c r="O43" s="74" t="n">
        <v>4</v>
      </c>
      <c r="P43" s="74">
        <f>IFERROR(IF(O43&gt;0,N43/O43,"-"),"-")</f>
        <v/>
      </c>
      <c r="Q43" s="75" t="n"/>
      <c r="R43" s="59" t="n"/>
      <c r="S43" s="59" t="n"/>
    </row>
    <row r="44" ht="15" customHeight="1">
      <c r="A44" s="70" t="n">
        <v>33</v>
      </c>
      <c r="B44" s="71" t="inlineStr">
        <is>
          <t>Future Collection</t>
        </is>
      </c>
      <c r="C44" s="70" t="inlineStr">
        <is>
          <t>SP0037</t>
        </is>
      </c>
      <c r="D44" s="71" t="inlineStr">
        <is>
          <t>Future Bakhoor 100 ml Perfume</t>
        </is>
      </c>
      <c r="E44" s="70" t="n">
        <v>1</v>
      </c>
      <c r="F44" s="72">
        <f>SUM(I44:O44)</f>
        <v/>
      </c>
      <c r="G44" s="72">
        <f>SUM(J44:P44)</f>
        <v/>
      </c>
      <c r="H44" s="73">
        <f>IFERROR(IF(G44&gt;0,F44/G44,"-"),"-")</f>
        <v/>
      </c>
      <c r="I44" s="74" t="n">
        <v>2</v>
      </c>
      <c r="J44" s="74">
        <f>IFERROR(IF(I44&gt;0,H44/I44,"-"),"-")</f>
        <v/>
      </c>
      <c r="K44" s="75" t="n"/>
      <c r="L44" s="74" t="n">
        <v>4</v>
      </c>
      <c r="M44" s="74">
        <f>IFERROR(IF(L44&gt;0,K44/L44,"-"),"-")</f>
        <v/>
      </c>
      <c r="N44" s="75" t="n"/>
      <c r="O44" s="74" t="n">
        <v>4</v>
      </c>
      <c r="P44" s="74">
        <f>IFERROR(IF(O44&gt;0,N44/O44,"-"),"-")</f>
        <v/>
      </c>
      <c r="Q44" s="75" t="n"/>
      <c r="R44" s="60" t="n"/>
      <c r="S44" s="60" t="n"/>
    </row>
    <row r="45" ht="15" customHeight="1">
      <c r="A45" s="70" t="n">
        <v>34</v>
      </c>
      <c r="B45" s="71" t="inlineStr">
        <is>
          <t>Future Collection</t>
        </is>
      </c>
      <c r="C45" s="70" t="inlineStr">
        <is>
          <t>SP0038</t>
        </is>
      </c>
      <c r="D45" s="71" t="inlineStr">
        <is>
          <t>Future Oud 100 ml Perfume</t>
        </is>
      </c>
      <c r="E45" s="70" t="n"/>
      <c r="F45" s="72">
        <f>SUM(I45:O45)</f>
        <v/>
      </c>
      <c r="G45" s="72">
        <f>SUM(J45:P45)</f>
        <v/>
      </c>
      <c r="H45" s="73">
        <f>IFERROR(IF(G45&gt;0,F45/G45,"-"),"-")</f>
        <v/>
      </c>
      <c r="I45" s="74" t="n">
        <v>1</v>
      </c>
      <c r="J45" s="74">
        <f>IFERROR(IF(I45&gt;0,H45/I45,"-"),"-")</f>
        <v/>
      </c>
      <c r="K45" s="75" t="n"/>
      <c r="L45" s="74" t="n">
        <v>1</v>
      </c>
      <c r="M45" s="74">
        <f>IFERROR(IF(L45&gt;0,K45/L45,"-"),"-")</f>
        <v/>
      </c>
      <c r="N45" s="75" t="n"/>
      <c r="O45" s="74" t="n">
        <v>1</v>
      </c>
      <c r="P45" s="74">
        <f>IFERROR(IF(O45&gt;0,N45/O45,"-"),"-")</f>
        <v/>
      </c>
      <c r="Q45" s="75" t="n"/>
      <c r="R45" s="60" t="n"/>
      <c r="S45" s="60" t="n"/>
    </row>
    <row r="46" ht="15" customHeight="1">
      <c r="A46" s="70" t="n">
        <v>35</v>
      </c>
      <c r="B46" s="71" t="inlineStr">
        <is>
          <t>Future Collection</t>
        </is>
      </c>
      <c r="C46" s="70" t="inlineStr">
        <is>
          <t>SP0040</t>
        </is>
      </c>
      <c r="D46" s="71" t="inlineStr">
        <is>
          <t>Future Mubakhar 100 ml Perfume</t>
        </is>
      </c>
      <c r="E46" s="70" t="n"/>
      <c r="F46" s="72">
        <f>SUM(I46:O46)</f>
        <v/>
      </c>
      <c r="G46" s="72">
        <f>SUM(J46:P46)</f>
        <v/>
      </c>
      <c r="H46" s="73">
        <f>IFERROR(IF(G46&gt;0,F46/G46,"-"),"-")</f>
        <v/>
      </c>
      <c r="I46" s="74" t="n">
        <v>5</v>
      </c>
      <c r="J46" s="74">
        <f>IFERROR(IF(I46&gt;0,H46/I46,"-"),"-")</f>
        <v/>
      </c>
      <c r="K46" s="75" t="n"/>
      <c r="L46" s="74" t="n">
        <v>1</v>
      </c>
      <c r="M46" s="74">
        <f>IFERROR(IF(L46&gt;0,K46/L46,"-"),"-")</f>
        <v/>
      </c>
      <c r="N46" s="75" t="n">
        <v>2</v>
      </c>
      <c r="O46" s="74" t="n"/>
      <c r="P46" s="74">
        <f>IFERROR(IF(O46&gt;0,N46/O46,"-"),"-")</f>
        <v/>
      </c>
      <c r="Q46" s="75" t="n">
        <v>1</v>
      </c>
      <c r="R46" s="60" t="n"/>
      <c r="S46" s="60" t="n"/>
    </row>
    <row r="47" ht="15" customHeight="1">
      <c r="A47" s="76" t="inlineStr">
        <is>
          <t xml:space="preserve">  SPECIAL SETS</t>
        </is>
      </c>
      <c r="B47" s="77" t="n"/>
      <c r="C47" s="77" t="n"/>
      <c r="D47" s="77" t="n"/>
      <c r="E47" s="77" t="n">
        <v>1</v>
      </c>
      <c r="F47" s="72">
        <f>SUM(I47:O47)</f>
        <v/>
      </c>
      <c r="G47" s="72">
        <f>SUM(J47:P47)</f>
        <v/>
      </c>
      <c r="H47" s="73">
        <f>IFERROR(IF(G47&gt;0,F47/G47,"-"),"-")</f>
        <v/>
      </c>
      <c r="I47" s="74" t="n">
        <v>11</v>
      </c>
      <c r="J47" s="74">
        <f>IFERROR(IF(I47&gt;0,H47/I47,"-"),"-")</f>
        <v/>
      </c>
      <c r="K47" s="75" t="n">
        <v>4</v>
      </c>
      <c r="L47" s="74" t="n">
        <v>17</v>
      </c>
      <c r="M47" s="74">
        <f>IFERROR(IF(L47&gt;0,K47/L47,"-"),"-")</f>
        <v/>
      </c>
      <c r="N47" s="75" t="n">
        <v>2</v>
      </c>
      <c r="O47" s="74" t="n">
        <v>38</v>
      </c>
      <c r="P47" s="74">
        <f>IFERROR(IF(O47&gt;0,N47/O47,"-"),"-")</f>
        <v/>
      </c>
      <c r="Q47" s="75" t="n">
        <v>3</v>
      </c>
      <c r="R47" s="59" t="n"/>
      <c r="S47" s="59" t="n"/>
    </row>
    <row r="48" ht="15" customHeight="1">
      <c r="A48" s="70" t="n">
        <v>36</v>
      </c>
      <c r="B48" s="71" t="inlineStr">
        <is>
          <t>Special Sets</t>
        </is>
      </c>
      <c r="C48" s="70" t="inlineStr">
        <is>
          <t>SP0001</t>
        </is>
      </c>
      <c r="D48" s="71" t="inlineStr">
        <is>
          <t>White Oud</t>
        </is>
      </c>
      <c r="E48" s="70" t="n">
        <v>5</v>
      </c>
      <c r="F48" s="72">
        <f>SUM(I48:O48)</f>
        <v/>
      </c>
      <c r="G48" s="72">
        <f>SUM(J48:P48)</f>
        <v/>
      </c>
      <c r="H48" s="73">
        <f>IFERROR(IF(G48&gt;0,F48/G48,"-"),"-")</f>
        <v/>
      </c>
      <c r="I48" s="74" t="n"/>
      <c r="J48" s="74">
        <f>IFERROR(IF(I48&gt;0,H48/I48,"-"),"-")</f>
        <v/>
      </c>
      <c r="K48" s="75" t="n">
        <v>6</v>
      </c>
      <c r="L48" s="74" t="n">
        <v>1</v>
      </c>
      <c r="M48" s="74">
        <f>IFERROR(IF(L48&gt;0,K48/L48,"-"),"-")</f>
        <v/>
      </c>
      <c r="N48" s="75" t="n">
        <v>5</v>
      </c>
      <c r="O48" s="74" t="n">
        <v>6</v>
      </c>
      <c r="P48" s="74">
        <f>IFERROR(IF(O48&gt;0,N48/O48,"-"),"-")</f>
        <v/>
      </c>
      <c r="Q48" s="75" t="n">
        <v>3</v>
      </c>
      <c r="R48" s="60" t="n"/>
      <c r="S48" s="60" t="n"/>
    </row>
    <row r="49" ht="15" customHeight="1">
      <c r="A49" s="70" t="n">
        <v>37</v>
      </c>
      <c r="B49" s="71" t="inlineStr">
        <is>
          <t>Special Sets</t>
        </is>
      </c>
      <c r="C49" s="70" t="inlineStr">
        <is>
          <t>SP0007</t>
        </is>
      </c>
      <c r="D49" s="71" t="inlineStr">
        <is>
          <t>Reflection -T 100 ML</t>
        </is>
      </c>
      <c r="E49" s="70" t="n">
        <v>1</v>
      </c>
      <c r="F49" s="72">
        <f>SUM(I49:O49)</f>
        <v/>
      </c>
      <c r="G49" s="72">
        <f>SUM(J49:P49)</f>
        <v/>
      </c>
      <c r="H49" s="73">
        <f>IFERROR(IF(G49&gt;0,F49/G49,"-"),"-")</f>
        <v/>
      </c>
      <c r="I49" s="74" t="n">
        <v>1</v>
      </c>
      <c r="J49" s="74">
        <f>IFERROR(IF(I49&gt;0,H49/I49,"-"),"-")</f>
        <v/>
      </c>
      <c r="K49" s="75" t="n">
        <v>1</v>
      </c>
      <c r="L49" s="74" t="n">
        <v>2</v>
      </c>
      <c r="M49" s="74">
        <f>IFERROR(IF(L49&gt;0,K49/L49,"-"),"-")</f>
        <v/>
      </c>
      <c r="N49" s="75" t="n"/>
      <c r="O49" s="74" t="n">
        <v>1</v>
      </c>
      <c r="P49" s="74">
        <f>IFERROR(IF(O49&gt;0,N49/O49,"-"),"-")</f>
        <v/>
      </c>
      <c r="Q49" s="75" t="n"/>
      <c r="R49" s="60" t="n"/>
      <c r="S49" s="60" t="n"/>
    </row>
    <row r="50" ht="15" customHeight="1">
      <c r="A50" s="70" t="n">
        <v>38</v>
      </c>
      <c r="B50" s="71" t="inlineStr">
        <is>
          <t>Special Sets</t>
        </is>
      </c>
      <c r="C50" s="70" t="inlineStr">
        <is>
          <t>SP0030</t>
        </is>
      </c>
      <c r="D50" s="71" t="inlineStr">
        <is>
          <t>Midnight Oud 30ml</t>
        </is>
      </c>
      <c r="E50" s="70" t="n"/>
      <c r="F50" s="72">
        <f>SUM(I50:O50)</f>
        <v/>
      </c>
      <c r="G50" s="72">
        <f>SUM(J50:P50)</f>
        <v/>
      </c>
      <c r="H50" s="73">
        <f>IFERROR(IF(G50&gt;0,F50/G50,"-"),"-")</f>
        <v/>
      </c>
      <c r="I50" s="74" t="n"/>
      <c r="J50" s="74">
        <f>IFERROR(IF(I50&gt;0,H50/I50,"-"),"-")</f>
        <v/>
      </c>
      <c r="K50" s="75" t="n"/>
      <c r="L50" s="74" t="n"/>
      <c r="M50" s="74">
        <f>IFERROR(IF(L50&gt;0,K50/L50,"-"),"-")</f>
        <v/>
      </c>
      <c r="N50" s="75" t="n"/>
      <c r="O50" s="74" t="n"/>
      <c r="P50" s="74">
        <f>IFERROR(IF(O50&gt;0,N50/O50,"-"),"-")</f>
        <v/>
      </c>
      <c r="Q50" s="75" t="n"/>
      <c r="R50" s="60" t="n"/>
      <c r="S50" s="60" t="n"/>
    </row>
    <row r="51" ht="15" customHeight="1">
      <c r="A51" s="76" t="inlineStr">
        <is>
          <t xml:space="preserve">  OILS &amp; CPO</t>
        </is>
      </c>
      <c r="B51" s="77" t="n"/>
      <c r="C51" s="77" t="n"/>
      <c r="D51" s="77" t="n"/>
      <c r="E51" s="77" t="n">
        <v>1</v>
      </c>
      <c r="F51" s="72">
        <f>SUM(I51:O51)</f>
        <v/>
      </c>
      <c r="G51" s="72">
        <f>SUM(J51:P51)</f>
        <v/>
      </c>
      <c r="H51" s="73">
        <f>IFERROR(IF(G51&gt;0,F51/G51,"-"),"-")</f>
        <v/>
      </c>
      <c r="I51" s="74" t="n"/>
      <c r="J51" s="74">
        <f>IFERROR(IF(I51&gt;0,H51/I51,"-"),"-")</f>
        <v/>
      </c>
      <c r="K51" s="75" t="n">
        <v>1</v>
      </c>
      <c r="L51" s="74" t="n"/>
      <c r="M51" s="74">
        <f>IFERROR(IF(L51&gt;0,K51/L51,"-"),"-")</f>
        <v/>
      </c>
      <c r="N51" s="75" t="n"/>
      <c r="O51" s="74" t="n"/>
      <c r="P51" s="74">
        <f>IFERROR(IF(O51&gt;0,N51/O51,"-"),"-")</f>
        <v/>
      </c>
      <c r="Q51" s="75" t="n">
        <v>1</v>
      </c>
      <c r="R51" s="59" t="n"/>
      <c r="S51" s="59" t="n"/>
    </row>
    <row r="52" ht="15" customHeight="1">
      <c r="A52" s="70" t="n">
        <v>39</v>
      </c>
      <c r="B52" s="71" t="inlineStr">
        <is>
          <t>Oils &amp; CPO</t>
        </is>
      </c>
      <c r="C52" s="70" t="inlineStr">
        <is>
          <t>I00002</t>
        </is>
      </c>
      <c r="D52" s="71" t="inlineStr">
        <is>
          <t>Seufi Special</t>
        </is>
      </c>
      <c r="E52" s="70" t="n"/>
      <c r="F52" s="72">
        <f>SUM(I52:O52)</f>
        <v/>
      </c>
      <c r="G52" s="72">
        <f>SUM(J52:P52)</f>
        <v/>
      </c>
      <c r="H52" s="73">
        <f>IFERROR(IF(G52&gt;0,F52/G52,"-"),"-")</f>
        <v/>
      </c>
      <c r="I52" s="74" t="n"/>
      <c r="J52" s="74">
        <f>IFERROR(IF(I52&gt;0,H52/I52,"-"),"-")</f>
        <v/>
      </c>
      <c r="K52" s="75" t="n">
        <v>1</v>
      </c>
      <c r="L52" s="74" t="n"/>
      <c r="M52" s="74">
        <f>IFERROR(IF(L52&gt;0,K52/L52,"-"),"-")</f>
        <v/>
      </c>
      <c r="N52" s="75" t="n"/>
      <c r="O52" s="74" t="n"/>
      <c r="P52" s="74">
        <f>IFERROR(IF(O52&gt;0,N52/O52,"-"),"-")</f>
        <v/>
      </c>
      <c r="Q52" s="75" t="n"/>
      <c r="R52" s="60" t="n"/>
      <c r="S52" s="60" t="n"/>
    </row>
    <row r="53" ht="15" customHeight="1">
      <c r="A53" s="70" t="n">
        <v>40</v>
      </c>
      <c r="B53" s="71" t="inlineStr">
        <is>
          <t>Oils &amp; CPO</t>
        </is>
      </c>
      <c r="C53" s="70" t="inlineStr">
        <is>
          <t>I00004</t>
        </is>
      </c>
      <c r="D53" s="71" t="inlineStr">
        <is>
          <t>Maroon Oil - 8 ML</t>
        </is>
      </c>
      <c r="E53" s="70" t="n"/>
      <c r="F53" s="72">
        <f>SUM(I53:O53)</f>
        <v/>
      </c>
      <c r="G53" s="72">
        <f>SUM(J53:P53)</f>
        <v/>
      </c>
      <c r="H53" s="73">
        <f>IFERROR(IF(G53&gt;0,F53/G53,"-"),"-")</f>
        <v/>
      </c>
      <c r="I53" s="74" t="n"/>
      <c r="J53" s="74">
        <f>IFERROR(IF(I53&gt;0,H53/I53,"-"),"-")</f>
        <v/>
      </c>
      <c r="K53" s="75" t="n"/>
      <c r="L53" s="74" t="n"/>
      <c r="M53" s="74">
        <f>IFERROR(IF(L53&gt;0,K53/L53,"-"),"-")</f>
        <v/>
      </c>
      <c r="N53" s="75" t="n"/>
      <c r="O53" s="74" t="n"/>
      <c r="P53" s="74">
        <f>IFERROR(IF(O53&gt;0,N53/O53,"-"),"-")</f>
        <v/>
      </c>
      <c r="Q53" s="75" t="n"/>
      <c r="R53" s="60" t="n"/>
      <c r="S53" s="60" t="n"/>
    </row>
    <row r="54" ht="15" customHeight="1">
      <c r="A54" s="70" t="n">
        <v>41</v>
      </c>
      <c r="B54" s="71" t="inlineStr">
        <is>
          <t>Oils &amp; CPO</t>
        </is>
      </c>
      <c r="C54" s="70" t="inlineStr">
        <is>
          <t>I00005</t>
        </is>
      </c>
      <c r="D54" s="71" t="inlineStr">
        <is>
          <t>NO.4 Oil -8 ML</t>
        </is>
      </c>
      <c r="E54" s="70" t="n"/>
      <c r="F54" s="72">
        <f>SUM(I54:O54)</f>
        <v/>
      </c>
      <c r="G54" s="72">
        <f>SUM(J54:P54)</f>
        <v/>
      </c>
      <c r="H54" s="73">
        <f>IFERROR(IF(G54&gt;0,F54/G54,"-"),"-")</f>
        <v/>
      </c>
      <c r="I54" s="74" t="n"/>
      <c r="J54" s="74">
        <f>IFERROR(IF(I54&gt;0,H54/I54,"-"),"-")</f>
        <v/>
      </c>
      <c r="K54" s="75" t="n"/>
      <c r="L54" s="74" t="n">
        <v>2</v>
      </c>
      <c r="M54" s="74">
        <f>IFERROR(IF(L54&gt;0,K54/L54,"-"),"-")</f>
        <v/>
      </c>
      <c r="N54" s="75" t="n"/>
      <c r="O54" s="74" t="n"/>
      <c r="P54" s="74">
        <f>IFERROR(IF(O54&gt;0,N54/O54,"-"),"-")</f>
        <v/>
      </c>
      <c r="Q54" s="75" t="n"/>
      <c r="R54" s="60" t="n"/>
      <c r="S54" s="60" t="n"/>
    </row>
    <row r="55" ht="15" customHeight="1">
      <c r="A55" s="70" t="n">
        <v>42</v>
      </c>
      <c r="B55" s="71" t="inlineStr">
        <is>
          <t>Oils &amp; CPO</t>
        </is>
      </c>
      <c r="C55" s="70" t="inlineStr">
        <is>
          <t>I00006</t>
        </is>
      </c>
      <c r="D55" s="71" t="inlineStr">
        <is>
          <t>Musk oil 8 ML</t>
        </is>
      </c>
      <c r="E55" s="70" t="n"/>
      <c r="F55" s="72">
        <f>SUM(I55:O55)</f>
        <v/>
      </c>
      <c r="G55" s="72">
        <f>SUM(J55:P55)</f>
        <v/>
      </c>
      <c r="H55" s="73">
        <f>IFERROR(IF(G55&gt;0,F55/G55,"-"),"-")</f>
        <v/>
      </c>
      <c r="I55" s="74" t="n"/>
      <c r="J55" s="74">
        <f>IFERROR(IF(I55&gt;0,H55/I55,"-"),"-")</f>
        <v/>
      </c>
      <c r="K55" s="75" t="n"/>
      <c r="L55" s="74" t="n"/>
      <c r="M55" s="74">
        <f>IFERROR(IF(L55&gt;0,K55/L55,"-"),"-")</f>
        <v/>
      </c>
      <c r="N55" s="75" t="n"/>
      <c r="O55" s="74" t="n"/>
      <c r="P55" s="74">
        <f>IFERROR(IF(O55&gt;0,N55/O55,"-"),"-")</f>
        <v/>
      </c>
      <c r="Q55" s="75" t="n"/>
      <c r="R55" s="60" t="n"/>
      <c r="S55" s="60" t="n"/>
    </row>
    <row r="56" ht="15" customHeight="1">
      <c r="A56" s="76" t="inlineStr">
        <is>
          <t xml:space="preserve">  ACCESSORIES</t>
        </is>
      </c>
      <c r="B56" s="77" t="n"/>
      <c r="C56" s="77" t="n"/>
      <c r="D56" s="77" t="n"/>
      <c r="E56" s="77" t="n"/>
      <c r="F56" s="72">
        <f>SUM(I56:O56)</f>
        <v/>
      </c>
      <c r="G56" s="72">
        <f>SUM(J56:P56)</f>
        <v/>
      </c>
      <c r="H56" s="73">
        <f>IFERROR(IF(G56&gt;0,F56/G56,"-"),"-")</f>
        <v/>
      </c>
      <c r="I56" s="74" t="n"/>
      <c r="J56" s="74">
        <f>IFERROR(IF(I56&gt;0,H56/I56,"-"),"-")</f>
        <v/>
      </c>
      <c r="K56" s="75" t="n"/>
      <c r="L56" s="74" t="n">
        <v>2</v>
      </c>
      <c r="M56" s="74">
        <f>IFERROR(IF(L56&gt;0,K56/L56,"-"),"-")</f>
        <v/>
      </c>
      <c r="N56" s="75" t="n"/>
      <c r="O56" s="74" t="n">
        <v>1</v>
      </c>
      <c r="P56" s="74">
        <f>IFERROR(IF(O56&gt;0,N56/O56,"-"),"-")</f>
        <v/>
      </c>
      <c r="Q56" s="75" t="n"/>
      <c r="R56" s="59" t="n"/>
      <c r="S56" s="59" t="n"/>
    </row>
    <row r="57" ht="15" customHeight="1">
      <c r="A57" s="70" t="n">
        <v>43</v>
      </c>
      <c r="B57" s="71" t="inlineStr">
        <is>
          <t>Accessories</t>
        </is>
      </c>
      <c r="C57" s="70" t="inlineStr">
        <is>
          <t>AC0001</t>
        </is>
      </c>
      <c r="D57" s="71" t="inlineStr">
        <is>
          <t>Medkhan Small</t>
        </is>
      </c>
      <c r="E57" s="70" t="n"/>
      <c r="F57" s="72">
        <f>SUM(I57:O57)</f>
        <v/>
      </c>
      <c r="G57" s="72">
        <f>SUM(J57:P57)</f>
        <v/>
      </c>
      <c r="H57" s="73">
        <f>IFERROR(IF(G57&gt;0,F57/G57,"-"),"-")</f>
        <v/>
      </c>
      <c r="I57" s="74" t="n"/>
      <c r="J57" s="74">
        <f>IFERROR(IF(I57&gt;0,H57/I57,"-"),"-")</f>
        <v/>
      </c>
      <c r="K57" s="75" t="n">
        <v>2</v>
      </c>
      <c r="L57" s="74" t="n">
        <v>26</v>
      </c>
      <c r="M57" s="74">
        <f>IFERROR(IF(L57&gt;0,K57/L57,"-"),"-")</f>
        <v/>
      </c>
      <c r="N57" s="75" t="n">
        <v>2</v>
      </c>
      <c r="O57" s="74" t="n">
        <v>36</v>
      </c>
      <c r="P57" s="74">
        <f>IFERROR(IF(O57&gt;0,N57/O57,"-"),"-")</f>
        <v/>
      </c>
      <c r="Q57" s="75" t="n">
        <v>1</v>
      </c>
      <c r="R57" s="60" t="n"/>
      <c r="S57" s="60" t="n"/>
    </row>
    <row r="58" ht="15" customHeight="1">
      <c r="A58" s="70" t="n">
        <v>44</v>
      </c>
      <c r="B58" s="71" t="inlineStr">
        <is>
          <t>Accessories</t>
        </is>
      </c>
      <c r="C58" s="70" t="inlineStr">
        <is>
          <t>AC0003</t>
        </is>
      </c>
      <c r="D58" s="71" t="inlineStr">
        <is>
          <t>Lighter</t>
        </is>
      </c>
      <c r="E58" s="70" t="n"/>
      <c r="F58" s="72">
        <f>SUM(I58:O58)</f>
        <v/>
      </c>
      <c r="G58" s="72">
        <f>SUM(J58:P58)</f>
        <v/>
      </c>
      <c r="H58" s="73">
        <f>IFERROR(IF(G58&gt;0,F58/G58,"-"),"-")</f>
        <v/>
      </c>
      <c r="I58" s="74" t="n">
        <v>1</v>
      </c>
      <c r="J58" s="74">
        <f>IFERROR(IF(I58&gt;0,H58/I58,"-"),"-")</f>
        <v/>
      </c>
      <c r="K58" s="75" t="n">
        <v>1</v>
      </c>
      <c r="L58" s="74" t="n">
        <v>4</v>
      </c>
      <c r="M58" s="74">
        <f>IFERROR(IF(L58&gt;0,K58/L58,"-"),"-")</f>
        <v/>
      </c>
      <c r="N58" s="75" t="n">
        <v>1</v>
      </c>
      <c r="O58" s="74" t="n">
        <v>2</v>
      </c>
      <c r="P58" s="74">
        <f>IFERROR(IF(O58&gt;0,N58/O58,"-"),"-")</f>
        <v/>
      </c>
      <c r="Q58" s="75" t="n">
        <v>1</v>
      </c>
      <c r="R58" s="60" t="n"/>
      <c r="S58" s="60" t="n"/>
    </row>
    <row r="59">
      <c r="A59" s="77" t="n"/>
      <c r="B59" s="77" t="n"/>
      <c r="C59" s="77" t="n"/>
      <c r="D59" s="77" t="n"/>
      <c r="E59" s="77" t="n">
        <v>1</v>
      </c>
      <c r="F59" s="72">
        <f>SUM(I59:O59)</f>
        <v/>
      </c>
      <c r="G59" s="72">
        <f>SUM(J59:P59)</f>
        <v/>
      </c>
      <c r="H59" s="73">
        <f>IFERROR(IF(G59&gt;0,F59/G59,"-"),"-")</f>
        <v/>
      </c>
      <c r="I59" s="74" t="n"/>
      <c r="J59" s="74">
        <f>IFERROR(IF(I59&gt;0,H59/I59,"-"),"-")</f>
        <v/>
      </c>
      <c r="K59" s="75" t="n">
        <v>1</v>
      </c>
      <c r="L59" s="74" t="n">
        <v>1</v>
      </c>
      <c r="M59" s="74">
        <f>IFERROR(IF(L59&gt;0,K59/L59,"-"),"-")</f>
        <v/>
      </c>
      <c r="N59" s="75" t="n">
        <v>1</v>
      </c>
      <c r="O59" s="74" t="n"/>
      <c r="P59" s="74">
        <f>IFERROR(IF(O59&gt;0,N59/O59,"-"),"-")</f>
        <v/>
      </c>
      <c r="Q59" s="75" t="n">
        <v>2</v>
      </c>
      <c r="R59" s="59" t="n"/>
      <c r="S59" s="59" t="n"/>
    </row>
    <row r="60">
      <c r="A60" s="77" t="n"/>
      <c r="B60" s="77" t="n"/>
      <c r="C60" s="77" t="n"/>
      <c r="D60" s="77" t="n"/>
      <c r="E60" s="77" t="n">
        <v>4</v>
      </c>
      <c r="F60" s="72">
        <f>SUM(I60:O60)</f>
        <v/>
      </c>
      <c r="G60" s="72">
        <f>SUM(J60:P60)</f>
        <v/>
      </c>
      <c r="H60" s="73">
        <f>IFERROR(IF(G60&gt;0,F60/G60,"-"),"-")</f>
        <v/>
      </c>
      <c r="I60" s="74" t="n">
        <v>1</v>
      </c>
      <c r="J60" s="74">
        <f>IFERROR(IF(I60&gt;0,H60/I60,"-"),"-")</f>
        <v/>
      </c>
      <c r="K60" s="75" t="n">
        <v>2</v>
      </c>
      <c r="L60" s="74" t="n"/>
      <c r="M60" s="74">
        <f>IFERROR(IF(L60&gt;0,K60/L60,"-"),"-")</f>
        <v/>
      </c>
      <c r="N60" s="75" t="n">
        <v>4</v>
      </c>
      <c r="O60" s="74" t="n">
        <v>10</v>
      </c>
      <c r="P60" s="74">
        <f>IFERROR(IF(O60&gt;0,N60/O60,"-"),"-")</f>
        <v/>
      </c>
      <c r="Q60" s="75" t="n">
        <v>2</v>
      </c>
      <c r="R60" s="59" t="n"/>
      <c r="S60" s="59" t="n"/>
    </row>
    <row r="61">
      <c r="A61" s="77" t="n"/>
      <c r="B61" s="77" t="n"/>
      <c r="C61" s="77" t="n"/>
      <c r="D61" s="77" t="n"/>
      <c r="E61" s="77" t="n"/>
      <c r="F61" s="72">
        <f>SUM(I61:O61)</f>
        <v/>
      </c>
      <c r="G61" s="72">
        <f>SUM(J61:P61)</f>
        <v/>
      </c>
      <c r="H61" s="73">
        <f>IFERROR(IF(G61&gt;0,F61/G61,"-"),"-")</f>
        <v/>
      </c>
      <c r="I61" s="74" t="n">
        <v>16</v>
      </c>
      <c r="J61" s="74">
        <f>IFERROR(IF(I61&gt;0,H61/I61,"-"),"-")</f>
        <v/>
      </c>
      <c r="K61" s="75" t="n"/>
      <c r="L61" s="74" t="n">
        <v>14</v>
      </c>
      <c r="M61" s="74">
        <f>IFERROR(IF(L61&gt;0,K61/L61,"-"),"-")</f>
        <v/>
      </c>
      <c r="N61" s="75" t="n"/>
      <c r="O61" s="74" t="n">
        <v>13</v>
      </c>
      <c r="P61" s="74">
        <f>IFERROR(IF(O61&gt;0,N61/O61,"-"),"-")</f>
        <v/>
      </c>
      <c r="Q61" s="75" t="n"/>
      <c r="R61" s="59" t="n"/>
      <c r="S61" s="59" t="n"/>
    </row>
    <row r="62">
      <c r="A62" s="77" t="n"/>
      <c r="B62" s="77" t="n"/>
      <c r="C62" s="77" t="n"/>
      <c r="D62" s="77" t="n"/>
      <c r="E62" s="77" t="n"/>
      <c r="F62" s="72">
        <f>SUM(I62:O62)</f>
        <v/>
      </c>
      <c r="G62" s="72">
        <f>SUM(J62:P62)</f>
        <v/>
      </c>
      <c r="H62" s="73">
        <f>IFERROR(IF(G62&gt;0,F62/G62,"-"),"-")</f>
        <v/>
      </c>
      <c r="I62" s="74" t="n">
        <v>6</v>
      </c>
      <c r="J62" s="74">
        <f>IFERROR(IF(I62&gt;0,H62/I62,"-"),"-")</f>
        <v/>
      </c>
      <c r="K62" s="75" t="n"/>
      <c r="L62" s="74" t="n">
        <v>4</v>
      </c>
      <c r="M62" s="74">
        <f>IFERROR(IF(L62&gt;0,K62/L62,"-"),"-")</f>
        <v/>
      </c>
      <c r="N62" s="75" t="n"/>
      <c r="O62" s="74" t="n">
        <v>1</v>
      </c>
      <c r="P62" s="74">
        <f>IFERROR(IF(O62&gt;0,N62/O62,"-"),"-")</f>
        <v/>
      </c>
      <c r="Q62" s="75" t="n"/>
      <c r="R62" s="59" t="n"/>
      <c r="S62" s="59" t="n"/>
    </row>
    <row r="63">
      <c r="A63" s="77" t="n"/>
      <c r="B63" s="77" t="n"/>
      <c r="C63" s="77" t="n"/>
      <c r="D63" s="77" t="n"/>
      <c r="E63" s="77" t="n"/>
      <c r="F63" s="72">
        <f>SUM(I63:O63)</f>
        <v/>
      </c>
      <c r="G63" s="72">
        <f>SUM(J63:P63)</f>
        <v/>
      </c>
      <c r="H63" s="73">
        <f>IFERROR(IF(G63&gt;0,F63/G63,"-"),"-")</f>
        <v/>
      </c>
      <c r="I63" s="74" t="n"/>
      <c r="J63" s="74">
        <f>IFERROR(IF(I63&gt;0,H63/I63,"-"),"-")</f>
        <v/>
      </c>
      <c r="K63" s="75" t="n">
        <v>2</v>
      </c>
      <c r="L63" s="74" t="n"/>
      <c r="M63" s="74">
        <f>IFERROR(IF(L63&gt;0,K63/L63,"-"),"-")</f>
        <v/>
      </c>
      <c r="N63" s="75" t="n">
        <v>14</v>
      </c>
      <c r="O63" s="74" t="n"/>
      <c r="P63" s="74">
        <f>IFERROR(IF(O63&gt;0,N63/O63,"-"),"-")</f>
        <v/>
      </c>
      <c r="Q63" s="75" t="n">
        <v>3</v>
      </c>
      <c r="R63" s="59" t="n"/>
      <c r="S63" s="59" t="n"/>
    </row>
    <row r="64">
      <c r="A64" s="77" t="n"/>
      <c r="B64" s="77" t="n"/>
      <c r="C64" s="77" t="n"/>
      <c r="D64" s="77" t="n"/>
      <c r="E64" s="77" t="n"/>
      <c r="F64" s="72">
        <f>SUM(I64:O64)</f>
        <v/>
      </c>
      <c r="G64" s="72">
        <f>SUM(J64:P64)</f>
        <v/>
      </c>
      <c r="H64" s="73">
        <f>IFERROR(IF(G64&gt;0,F64/G64,"-"),"-")</f>
        <v/>
      </c>
      <c r="I64" s="74" t="n"/>
      <c r="J64" s="74">
        <f>IFERROR(IF(I64&gt;0,H64/I64,"-"),"-")</f>
        <v/>
      </c>
      <c r="K64" s="75" t="n">
        <v>1</v>
      </c>
      <c r="L64" s="74" t="n"/>
      <c r="M64" s="74">
        <f>IFERROR(IF(L64&gt;0,K64/L64,"-"),"-")</f>
        <v/>
      </c>
      <c r="N64" s="75" t="n"/>
      <c r="O64" s="74" t="n">
        <v>2</v>
      </c>
      <c r="P64" s="74">
        <f>IFERROR(IF(O64&gt;0,N64/O64,"-"),"-")</f>
        <v/>
      </c>
      <c r="Q64" s="75" t="n"/>
      <c r="R64" s="59" t="n"/>
      <c r="S64" s="59" t="n"/>
    </row>
  </sheetData>
  <mergeCells count="5">
    <mergeCell ref="A1:AZ1"/>
    <mergeCell ref="O3"/>
    <mergeCell ref="I3"/>
    <mergeCell ref="L3"/>
    <mergeCell ref="A2:A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2026-06-17T09:46:44Z</dcterms:created>
  <dcterms:modified xsi:type="dcterms:W3CDTF">2026-06-19T08:00:49Z</dcterms:modified>
</cp:coreProperties>
</file>